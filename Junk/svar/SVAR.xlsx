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RnD\Modules\"/>
    </mc:Choice>
  </mc:AlternateContent>
  <xr:revisionPtr revIDLastSave="0" documentId="13_ncr:1_{D11A7C94-C0F8-4E03-A120-A654D88796E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Context" sheetId="3" r:id="rId1"/>
    <sheet name="varSheet1" sheetId="1" r:id="rId2"/>
    <sheet name="varSheet2" sheetId="5" r:id="rId3"/>
    <sheet name="misc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1" i="5" l="1"/>
  <c r="I41" i="5"/>
  <c r="K41" i="5" s="1"/>
  <c r="J40" i="5"/>
  <c r="I40" i="5"/>
  <c r="K40" i="5" s="1"/>
  <c r="J39" i="5"/>
  <c r="I39" i="5"/>
  <c r="K39" i="5" s="1"/>
  <c r="J38" i="5"/>
  <c r="I38" i="5"/>
  <c r="K38" i="5" s="1"/>
  <c r="J37" i="5"/>
  <c r="I37" i="5"/>
  <c r="K37" i="5" s="1"/>
  <c r="J36" i="5"/>
  <c r="I36" i="5"/>
  <c r="K36" i="5" s="1"/>
  <c r="J35" i="5"/>
  <c r="I35" i="5"/>
  <c r="K35" i="5" s="1"/>
  <c r="J34" i="5"/>
  <c r="I34" i="5"/>
  <c r="K34" i="5" s="1"/>
  <c r="K33" i="5"/>
  <c r="J33" i="5"/>
  <c r="I33" i="5"/>
  <c r="J32" i="5"/>
  <c r="I32" i="5"/>
  <c r="K32" i="5" s="1"/>
  <c r="J31" i="5"/>
  <c r="I31" i="5"/>
  <c r="K31" i="5" s="1"/>
  <c r="K30" i="5"/>
  <c r="J30" i="5"/>
  <c r="I30" i="5"/>
  <c r="J29" i="5"/>
  <c r="I29" i="5"/>
  <c r="K29" i="5" s="1"/>
  <c r="J28" i="5"/>
  <c r="I28" i="5"/>
  <c r="K28" i="5" s="1"/>
  <c r="K27" i="5"/>
  <c r="J27" i="5"/>
  <c r="I27" i="5"/>
  <c r="K26" i="5"/>
  <c r="J26" i="5"/>
  <c r="I26" i="5"/>
  <c r="J25" i="5"/>
  <c r="I25" i="5"/>
  <c r="K25" i="5" s="1"/>
  <c r="J24" i="5"/>
  <c r="I24" i="5"/>
  <c r="K24" i="5" s="1"/>
  <c r="J23" i="5"/>
  <c r="I23" i="5"/>
  <c r="K23" i="5" s="1"/>
  <c r="J22" i="5"/>
  <c r="I22" i="5"/>
  <c r="K22" i="5" s="1"/>
  <c r="J21" i="5"/>
  <c r="I21" i="5"/>
  <c r="K21" i="5" s="1"/>
  <c r="J20" i="5"/>
  <c r="I20" i="5"/>
  <c r="K20" i="5" s="1"/>
  <c r="K19" i="5"/>
  <c r="J19" i="5"/>
  <c r="I19" i="5"/>
  <c r="J18" i="5"/>
  <c r="I18" i="5"/>
  <c r="K18" i="5" s="1"/>
  <c r="J17" i="5"/>
  <c r="I17" i="5"/>
  <c r="K17" i="5" s="1"/>
  <c r="J16" i="5"/>
  <c r="I16" i="5"/>
  <c r="K16" i="5" s="1"/>
  <c r="J15" i="5"/>
  <c r="I15" i="5"/>
  <c r="K15" i="5" s="1"/>
  <c r="K14" i="5"/>
  <c r="J14" i="5"/>
  <c r="I14" i="5"/>
  <c r="J13" i="5"/>
  <c r="I13" i="5"/>
  <c r="K13" i="5" s="1"/>
  <c r="J12" i="5"/>
  <c r="I12" i="5"/>
  <c r="K12" i="5" s="1"/>
  <c r="J11" i="5"/>
  <c r="I11" i="5"/>
  <c r="K11" i="5" s="1"/>
  <c r="K10" i="5"/>
  <c r="J10" i="5"/>
  <c r="I10" i="5"/>
  <c r="J9" i="5"/>
  <c r="I9" i="5"/>
  <c r="K9" i="5" s="1"/>
  <c r="J8" i="5"/>
  <c r="I8" i="5"/>
  <c r="K8" i="5" s="1"/>
  <c r="J7" i="5"/>
  <c r="I7" i="5"/>
  <c r="K7" i="5" s="1"/>
  <c r="K8" i="1"/>
  <c r="K14" i="1"/>
  <c r="K16" i="1"/>
  <c r="K24" i="1"/>
  <c r="K25" i="1"/>
  <c r="K32" i="1"/>
  <c r="K33" i="1"/>
  <c r="K40" i="1"/>
  <c r="K41" i="1"/>
  <c r="K7" i="1"/>
  <c r="I14" i="1"/>
  <c r="I8" i="1"/>
  <c r="I9" i="1"/>
  <c r="K9" i="1" s="1"/>
  <c r="I10" i="1"/>
  <c r="K10" i="1" s="1"/>
  <c r="I11" i="1"/>
  <c r="K11" i="1" s="1"/>
  <c r="I12" i="1"/>
  <c r="K12" i="1" s="1"/>
  <c r="I13" i="1"/>
  <c r="K13" i="1" s="1"/>
  <c r="I15" i="1"/>
  <c r="K15" i="1" s="1"/>
  <c r="I16" i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I25" i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I33" i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I41" i="1"/>
  <c r="I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7" i="1"/>
</calcChain>
</file>

<file path=xl/sharedStrings.xml><?xml version="1.0" encoding="utf-8"?>
<sst xmlns="http://schemas.openxmlformats.org/spreadsheetml/2006/main" count="196" uniqueCount="95">
  <si>
    <t>Segment</t>
  </si>
  <si>
    <t>Segment Types</t>
  </si>
  <si>
    <t>Performance</t>
  </si>
  <si>
    <t>Calibration</t>
  </si>
  <si>
    <t>Configuration</t>
  </si>
  <si>
    <t>VarTypes</t>
  </si>
  <si>
    <t>char</t>
  </si>
  <si>
    <t>uint8_t</t>
  </si>
  <si>
    <t>int8_t</t>
  </si>
  <si>
    <t>uint16_t</t>
  </si>
  <si>
    <t>int16_t</t>
  </si>
  <si>
    <t>uint32_t</t>
  </si>
  <si>
    <t>int32_t</t>
  </si>
  <si>
    <t>uint64_t</t>
  </si>
  <si>
    <t>int64_t</t>
  </si>
  <si>
    <t>varSizes</t>
  </si>
  <si>
    <t>float</t>
  </si>
  <si>
    <t>double</t>
  </si>
  <si>
    <t>Flavor</t>
  </si>
  <si>
    <t>SegmentFlavor</t>
  </si>
  <si>
    <t>RAM_ONLY</t>
  </si>
  <si>
    <t>EEPROM_ONLY</t>
  </si>
  <si>
    <t>SHADOWED_EEPROM</t>
  </si>
  <si>
    <t>SegmentPrefix</t>
  </si>
  <si>
    <t>long double</t>
  </si>
  <si>
    <t>bool</t>
  </si>
  <si>
    <t>svAdd</t>
  </si>
  <si>
    <t>RefreshTime (sec)</t>
  </si>
  <si>
    <t>Applicable for EEPROM only</t>
  </si>
  <si>
    <t>Applicable for EEPROM only, 0-On Demand, other value - sec</t>
  </si>
  <si>
    <t>varType</t>
  </si>
  <si>
    <t>varName</t>
  </si>
  <si>
    <t>varDepth1</t>
  </si>
  <si>
    <t>varDepth2</t>
  </si>
  <si>
    <t>varDesc</t>
  </si>
  <si>
    <t>varSuffixes</t>
  </si>
  <si>
    <t>b</t>
  </si>
  <si>
    <t>c</t>
  </si>
  <si>
    <t>f</t>
  </si>
  <si>
    <t>d</t>
  </si>
  <si>
    <t>u8</t>
  </si>
  <si>
    <t>s8</t>
  </si>
  <si>
    <t>u16</t>
  </si>
  <si>
    <t>s16</t>
  </si>
  <si>
    <t>u32</t>
  </si>
  <si>
    <t>s32</t>
  </si>
  <si>
    <t>u64</t>
  </si>
  <si>
    <t>s64</t>
  </si>
  <si>
    <t>ld</t>
  </si>
  <si>
    <t>add</t>
  </si>
  <si>
    <t>Segment Count</t>
  </si>
  <si>
    <t>Size</t>
  </si>
  <si>
    <t>Name</t>
  </si>
  <si>
    <t>Results</t>
  </si>
  <si>
    <t>BMS</t>
  </si>
  <si>
    <t>suffix</t>
  </si>
  <si>
    <t>Battery_Count</t>
  </si>
  <si>
    <t>Offset Address</t>
  </si>
  <si>
    <t>OverVolt_Threshold</t>
  </si>
  <si>
    <t>UnderVolt_Threshold</t>
  </si>
  <si>
    <t>sv_add.h</t>
  </si>
  <si>
    <t>sv_user.c</t>
  </si>
  <si>
    <t>sv_drv.c</t>
  </si>
  <si>
    <t>Internal drivers</t>
  </si>
  <si>
    <t>sv_eeprom.c</t>
  </si>
  <si>
    <t>EEPROM Only</t>
  </si>
  <si>
    <t>YES</t>
  </si>
  <si>
    <t>NO</t>
  </si>
  <si>
    <t>RECT</t>
  </si>
  <si>
    <t>Packed Storage</t>
  </si>
  <si>
    <t>YES - Allow crossing of variables over page boundaries</t>
  </si>
  <si>
    <t>Product Name</t>
  </si>
  <si>
    <t>WCBMS</t>
  </si>
  <si>
    <t>EEPROM Part Number</t>
  </si>
  <si>
    <t>Critical Context Data</t>
  </si>
  <si>
    <t>sv_main.c</t>
  </si>
  <si>
    <t>refresh logic, internal drivers</t>
  </si>
  <si>
    <t>Non Critical Setup Information</t>
  </si>
  <si>
    <t>Output Files:</t>
  </si>
  <si>
    <t>header for accessing variables by user</t>
  </si>
  <si>
    <t>EEPROM drivers</t>
  </si>
  <si>
    <t>24C16</t>
  </si>
  <si>
    <t>Enable Segment Type Prefix</t>
  </si>
  <si>
    <t>sv_ram.c</t>
  </si>
  <si>
    <t>Buffers for storage, structs for segments</t>
  </si>
  <si>
    <t>Generated</t>
  </si>
  <si>
    <t>fixed</t>
  </si>
  <si>
    <t>sv_internal_config.h</t>
  </si>
  <si>
    <t>Internal preprocessor based configs</t>
  </si>
  <si>
    <t>sv_user.h</t>
  </si>
  <si>
    <t>Include file for user</t>
  </si>
  <si>
    <t>Fixed</t>
  </si>
  <si>
    <t>read/write/init APIs for user, validation callbacks</t>
  </si>
  <si>
    <t>Page Size</t>
  </si>
  <si>
    <t>Enable Segment Name 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</si>
</sst>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1" fillId="0" borderId="3" xfId="0" applyFont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/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1D6F-539A-4564-B6A8-050E0FE4AE6E}">
  <dimension ref="A1:H17"/>
  <sheetViews>
    <sheetView tabSelected="1" workbookViewId="0">
      <selection activeCell="D14" sqref="D14"/>
    </sheetView>
  </sheetViews>
  <sheetFormatPr defaultRowHeight="14.4" x14ac:dyDescent="0.3"/>
  <cols>
    <col min="1" max="1" width="27.77734375" customWidth="1"/>
    <col min="2" max="2" width="34.77734375" style="11" customWidth="1"/>
    <col min="5" max="5" width="20.6640625" customWidth="1"/>
    <col min="6" max="6" width="18" customWidth="1"/>
    <col min="7" max="7" width="43.33203125" customWidth="1"/>
    <col min="8" max="8" width="12.21875" customWidth="1"/>
  </cols>
  <sheetData>
    <row r="1" spans="1:8" x14ac:dyDescent="0.3">
      <c r="A1" s="13" t="s">
        <v>77</v>
      </c>
      <c r="B1" s="15"/>
      <c r="F1" t="s">
        <v>78</v>
      </c>
      <c r="G1" s="11"/>
    </row>
    <row r="2" spans="1:8" x14ac:dyDescent="0.3">
      <c r="A2" s="5" t="s">
        <v>71</v>
      </c>
      <c r="B2" s="16" t="s">
        <v>72</v>
      </c>
      <c r="F2" s="1" t="s">
        <v>89</v>
      </c>
      <c r="G2" s="12" t="s">
        <v>90</v>
      </c>
      <c r="H2" t="s">
        <v>91</v>
      </c>
    </row>
    <row r="3" spans="1:8" x14ac:dyDescent="0.3">
      <c r="A3" s="5" t="s">
        <v>73</v>
      </c>
      <c r="B3" s="16" t="s">
        <v>81</v>
      </c>
      <c r="F3" s="1" t="s">
        <v>60</v>
      </c>
      <c r="G3" s="12" t="s">
        <v>79</v>
      </c>
      <c r="H3" t="s">
        <v>85</v>
      </c>
    </row>
    <row r="4" spans="1:8" x14ac:dyDescent="0.3">
      <c r="A4" s="5"/>
      <c r="B4" s="16"/>
      <c r="F4" s="1" t="s">
        <v>61</v>
      </c>
      <c r="G4" s="12" t="s">
        <v>92</v>
      </c>
      <c r="H4" t="s">
        <v>86</v>
      </c>
    </row>
    <row r="5" spans="1:8" x14ac:dyDescent="0.3">
      <c r="A5" s="5"/>
      <c r="B5" s="16"/>
      <c r="F5" s="10" t="s">
        <v>83</v>
      </c>
      <c r="G5" s="12" t="s">
        <v>84</v>
      </c>
      <c r="H5" t="s">
        <v>85</v>
      </c>
    </row>
    <row r="6" spans="1:8" x14ac:dyDescent="0.3">
      <c r="A6" s="5"/>
      <c r="B6" s="16"/>
      <c r="F6" s="10" t="s">
        <v>87</v>
      </c>
      <c r="G6" s="12" t="s">
        <v>88</v>
      </c>
      <c r="H6" t="s">
        <v>85</v>
      </c>
    </row>
    <row r="7" spans="1:8" ht="15" thickBot="1" x14ac:dyDescent="0.35">
      <c r="A7" s="9"/>
      <c r="B7" s="17"/>
      <c r="F7" s="10" t="s">
        <v>62</v>
      </c>
      <c r="G7" s="12" t="s">
        <v>63</v>
      </c>
      <c r="H7" t="s">
        <v>86</v>
      </c>
    </row>
    <row r="8" spans="1:8" x14ac:dyDescent="0.3">
      <c r="A8" s="18" t="s">
        <v>74</v>
      </c>
      <c r="B8" s="19"/>
      <c r="F8" s="10" t="s">
        <v>75</v>
      </c>
      <c r="G8" s="12" t="s">
        <v>76</v>
      </c>
      <c r="H8" t="s">
        <v>86</v>
      </c>
    </row>
    <row r="9" spans="1:8" x14ac:dyDescent="0.3">
      <c r="A9" s="5" t="s">
        <v>50</v>
      </c>
      <c r="B9" s="16">
        <v>3</v>
      </c>
      <c r="F9" s="10" t="s">
        <v>64</v>
      </c>
      <c r="G9" s="12" t="s">
        <v>80</v>
      </c>
      <c r="H9" t="s">
        <v>86</v>
      </c>
    </row>
    <row r="10" spans="1:8" x14ac:dyDescent="0.3">
      <c r="A10" s="5" t="s">
        <v>93</v>
      </c>
      <c r="B10" s="16">
        <v>128</v>
      </c>
      <c r="C10" s="8" t="s">
        <v>65</v>
      </c>
    </row>
    <row r="11" spans="1:8" x14ac:dyDescent="0.3">
      <c r="A11" s="5" t="s">
        <v>69</v>
      </c>
      <c r="B11" s="16" t="s">
        <v>67</v>
      </c>
      <c r="C11" s="8" t="s">
        <v>70</v>
      </c>
    </row>
    <row r="12" spans="1:8" x14ac:dyDescent="0.3">
      <c r="A12" s="5" t="s">
        <v>82</v>
      </c>
      <c r="B12" s="16" t="s">
        <v>67</v>
      </c>
    </row>
    <row r="13" spans="1:8" x14ac:dyDescent="0.3">
      <c r="A13" s="5" t="s">
        <v>94</v>
      </c>
      <c r="B13" s="16" t="s">
        <v>66</v>
      </c>
    </row>
    <row r="14" spans="1:8" x14ac:dyDescent="0.3">
      <c r="A14" s="6"/>
      <c r="B14" s="16"/>
    </row>
    <row r="15" spans="1:8" x14ac:dyDescent="0.3">
      <c r="A15" s="6"/>
      <c r="B15" s="16"/>
    </row>
    <row r="16" spans="1:8" x14ac:dyDescent="0.3">
      <c r="A16" s="6"/>
      <c r="B16" s="16"/>
    </row>
    <row r="17" spans="1:2" ht="15" thickBot="1" x14ac:dyDescent="0.35">
      <c r="A17" s="7"/>
      <c r="B17" s="17"/>
    </row>
  </sheetData>
  <mergeCells count="2">
    <mergeCell ref="A8:B8"/>
    <mergeCell ref="A1:B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D1ED1A-A7B5-4A26-A3C8-A2333C68C54C}">
          <x14:formula1>
            <xm:f>misc!$N$1:$N$2</xm:f>
          </x14:formula1>
          <xm:sqref>B11:B13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workbookViewId="0">
      <selection activeCell="B29" sqref="B29"/>
    </sheetView>
  </sheetViews>
  <sheetFormatPr defaultRowHeight="14.4" x14ac:dyDescent="0.3"/>
  <cols>
    <col min="1" max="1" width="21.88671875" customWidth="1"/>
    <col min="2" max="2" width="34.77734375" customWidth="1"/>
    <col min="3" max="3" width="9.88671875" customWidth="1"/>
    <col min="4" max="4" width="11.44140625" customWidth="1"/>
    <col min="5" max="8" width="12.109375" customWidth="1"/>
    <col min="9" max="9" width="7.21875" customWidth="1"/>
    <col min="10" max="10" width="3.77734375" customWidth="1"/>
    <col min="11" max="11" width="33.6640625" customWidth="1"/>
  </cols>
  <sheetData>
    <row r="1" spans="1:11" x14ac:dyDescent="0.3">
      <c r="A1" s="1" t="s">
        <v>0</v>
      </c>
      <c r="B1" t="s">
        <v>4</v>
      </c>
    </row>
    <row r="2" spans="1:11" x14ac:dyDescent="0.3">
      <c r="A2" s="1" t="s">
        <v>18</v>
      </c>
      <c r="B2" t="s">
        <v>20</v>
      </c>
    </row>
    <row r="3" spans="1:11" x14ac:dyDescent="0.3">
      <c r="A3" s="1" t="s">
        <v>57</v>
      </c>
      <c r="B3" s="4">
        <v>0</v>
      </c>
      <c r="C3" s="1" t="s">
        <v>28</v>
      </c>
    </row>
    <row r="4" spans="1:11" x14ac:dyDescent="0.3">
      <c r="A4" s="1" t="s">
        <v>23</v>
      </c>
      <c r="B4" s="4" t="s">
        <v>54</v>
      </c>
    </row>
    <row r="5" spans="1:11" x14ac:dyDescent="0.3">
      <c r="A5" s="1" t="s">
        <v>27</v>
      </c>
      <c r="B5" s="4">
        <v>0</v>
      </c>
      <c r="C5" s="1" t="s">
        <v>29</v>
      </c>
      <c r="I5" s="14" t="s">
        <v>53</v>
      </c>
      <c r="J5" s="14"/>
      <c r="K5" s="14"/>
    </row>
    <row r="6" spans="1:11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/>
      <c r="G6" s="1"/>
      <c r="H6" s="1"/>
      <c r="I6" s="2" t="s">
        <v>55</v>
      </c>
      <c r="J6" s="2" t="s">
        <v>51</v>
      </c>
      <c r="K6" s="2" t="s">
        <v>52</v>
      </c>
    </row>
    <row r="7" spans="1:11" x14ac:dyDescent="0.3">
      <c r="A7" t="s">
        <v>7</v>
      </c>
      <c r="B7" t="s">
        <v>56</v>
      </c>
      <c r="C7">
        <v>10</v>
      </c>
      <c r="D7">
        <v>1</v>
      </c>
      <c r="I7" s="3" t="str">
        <f>VLOOKUP(A7,misc!$C$2:$E$15,3,FALSE)</f>
        <v>u8</v>
      </c>
      <c r="J7" s="3">
        <f>(VLOOKUP(A7, misc!$C$2:$D$28, 2, FALSE)) * C7 * D7</f>
        <v>10</v>
      </c>
      <c r="K7" s="3" t="str">
        <f>CONCATENATE("SVAR_",$B$4,"_",B7,"_",I7)</f>
        <v>SVAR_BMS_Battery_Count_u8</v>
      </c>
    </row>
    <row r="8" spans="1:11" x14ac:dyDescent="0.3">
      <c r="A8" t="s">
        <v>7</v>
      </c>
      <c r="B8" t="s">
        <v>59</v>
      </c>
      <c r="C8">
        <v>1</v>
      </c>
      <c r="D8">
        <v>1</v>
      </c>
      <c r="I8" s="3" t="str">
        <f>VLOOKUP(A8,misc!$C$2:$E$15,3,FALSE)</f>
        <v>u8</v>
      </c>
      <c r="J8" s="3">
        <f>(VLOOKUP(A8, misc!$C$2:$D$28, 2, FALSE)) * C8 * D8</f>
        <v>1</v>
      </c>
      <c r="K8" s="3" t="str">
        <f t="shared" ref="K8:K41" si="0">CONCATENATE("SVAR_",$B$4,"_",B8,"_",I8)</f>
        <v>SVAR_BMS_UnderVolt_Threshold_u8</v>
      </c>
    </row>
    <row r="9" spans="1:11" x14ac:dyDescent="0.3">
      <c r="A9" t="s">
        <v>7</v>
      </c>
      <c r="B9" t="s">
        <v>58</v>
      </c>
      <c r="C9">
        <v>1</v>
      </c>
      <c r="D9">
        <v>1</v>
      </c>
      <c r="I9" s="3" t="str">
        <f>VLOOKUP(A9,misc!$C$2:$E$15,3,FALSE)</f>
        <v>u8</v>
      </c>
      <c r="J9" s="3">
        <f>(VLOOKUP(A9, misc!$C$2:$D$28, 2, FALSE)) * C9 * D9</f>
        <v>1</v>
      </c>
      <c r="K9" s="3" t="str">
        <f t="shared" si="0"/>
        <v>SVAR_BMS_OverVolt_Threshold_u8</v>
      </c>
    </row>
    <row r="10" spans="1:11" x14ac:dyDescent="0.3">
      <c r="A10" t="s">
        <v>10</v>
      </c>
      <c r="C10">
        <v>1</v>
      </c>
      <c r="D10">
        <v>1</v>
      </c>
      <c r="I10" s="3" t="str">
        <f>VLOOKUP(A10,misc!$C$2:$E$15,3,FALSE)</f>
        <v>s16</v>
      </c>
      <c r="J10" s="3">
        <f>(VLOOKUP(A10, misc!$C$2:$D$28, 2, FALSE)) * C10 * D10</f>
        <v>2</v>
      </c>
      <c r="K10" s="3" t="str">
        <f t="shared" si="0"/>
        <v>SVAR_BMS__s16</v>
      </c>
    </row>
    <row r="11" spans="1:11" x14ac:dyDescent="0.3">
      <c r="A11" t="s">
        <v>7</v>
      </c>
      <c r="C11">
        <v>1</v>
      </c>
      <c r="D11">
        <v>1</v>
      </c>
      <c r="I11" s="3" t="str">
        <f>VLOOKUP(A11,misc!$C$2:$E$15,3,FALSE)</f>
        <v>u8</v>
      </c>
      <c r="J11" s="3">
        <f>(VLOOKUP(A11, misc!$C$2:$D$28, 2, FALSE)) * C11 * D11</f>
        <v>1</v>
      </c>
      <c r="K11" s="3" t="str">
        <f t="shared" si="0"/>
        <v>SVAR_BMS__u8</v>
      </c>
    </row>
    <row r="12" spans="1:11" x14ac:dyDescent="0.3">
      <c r="A12" t="s">
        <v>7</v>
      </c>
      <c r="C12">
        <v>1</v>
      </c>
      <c r="D12">
        <v>1</v>
      </c>
      <c r="I12" s="3" t="str">
        <f>VLOOKUP(A12,misc!$C$2:$E$15,3,FALSE)</f>
        <v>u8</v>
      </c>
      <c r="J12" s="3">
        <f>(VLOOKUP(A12, misc!$C$2:$D$28, 2, FALSE)) * C12 * D12</f>
        <v>1</v>
      </c>
      <c r="K12" s="3" t="str">
        <f t="shared" si="0"/>
        <v>SVAR_BMS__u8</v>
      </c>
    </row>
    <row r="13" spans="1:11" x14ac:dyDescent="0.3">
      <c r="A13" t="s">
        <v>7</v>
      </c>
      <c r="C13">
        <v>1</v>
      </c>
      <c r="D13">
        <v>1</v>
      </c>
      <c r="I13" s="3" t="str">
        <f>VLOOKUP(A13,misc!$C$2:$E$15,3,FALSE)</f>
        <v>u8</v>
      </c>
      <c r="J13" s="3">
        <f>(VLOOKUP(A13, misc!$C$2:$D$28, 2, FALSE)) * C13 * D13</f>
        <v>1</v>
      </c>
      <c r="K13" s="3" t="str">
        <f t="shared" si="0"/>
        <v>SVAR_BMS__u8</v>
      </c>
    </row>
    <row r="14" spans="1:11" x14ac:dyDescent="0.3">
      <c r="A14" t="s">
        <v>7</v>
      </c>
      <c r="C14">
        <v>1</v>
      </c>
      <c r="D14">
        <v>1</v>
      </c>
      <c r="I14" s="3" t="str">
        <f>VLOOKUP(A14,misc!$C$2:$E$15,3,FALSE)</f>
        <v>u8</v>
      </c>
      <c r="J14" s="3">
        <f>(VLOOKUP(A14, misc!$C$2:$D$28, 2, FALSE)) * C14 * D14</f>
        <v>1</v>
      </c>
      <c r="K14" s="3" t="str">
        <f t="shared" si="0"/>
        <v>SVAR_BMS__u8</v>
      </c>
    </row>
    <row r="15" spans="1:11" x14ac:dyDescent="0.3">
      <c r="A15" t="s">
        <v>11</v>
      </c>
      <c r="C15">
        <v>1</v>
      </c>
      <c r="D15">
        <v>1</v>
      </c>
      <c r="I15" s="3" t="str">
        <f>VLOOKUP(A15,misc!$C$2:$E$15,3,FALSE)</f>
        <v>u32</v>
      </c>
      <c r="J15" s="3">
        <f>(VLOOKUP(A15, misc!$C$2:$D$28, 2, FALSE)) * C15 * D15</f>
        <v>4</v>
      </c>
      <c r="K15" s="3" t="str">
        <f t="shared" si="0"/>
        <v>SVAR_BMS__u32</v>
      </c>
    </row>
    <row r="16" spans="1:11" x14ac:dyDescent="0.3">
      <c r="A16" t="s">
        <v>7</v>
      </c>
      <c r="C16">
        <v>1</v>
      </c>
      <c r="D16">
        <v>1</v>
      </c>
      <c r="I16" s="3" t="str">
        <f>VLOOKUP(A16,misc!$C$2:$E$15,3,FALSE)</f>
        <v>u8</v>
      </c>
      <c r="J16" s="3">
        <f>(VLOOKUP(A16, misc!$C$2:$D$28, 2, FALSE)) * C16 * D16</f>
        <v>1</v>
      </c>
      <c r="K16" s="3" t="str">
        <f t="shared" si="0"/>
        <v>SVAR_BMS__u8</v>
      </c>
    </row>
    <row r="17" spans="1:11" x14ac:dyDescent="0.3">
      <c r="A17" t="s">
        <v>7</v>
      </c>
      <c r="C17">
        <v>1</v>
      </c>
      <c r="D17">
        <v>1</v>
      </c>
      <c r="I17" s="3" t="str">
        <f>VLOOKUP(A17,misc!$C$2:$E$15,3,FALSE)</f>
        <v>u8</v>
      </c>
      <c r="J17" s="3">
        <f>(VLOOKUP(A17, misc!$C$2:$D$28, 2, FALSE)) * C17 * D17</f>
        <v>1</v>
      </c>
      <c r="K17" s="3" t="str">
        <f t="shared" si="0"/>
        <v>SVAR_BMS__u8</v>
      </c>
    </row>
    <row r="18" spans="1:11" x14ac:dyDescent="0.3">
      <c r="A18" t="s">
        <v>24</v>
      </c>
      <c r="C18">
        <v>1</v>
      </c>
      <c r="D18">
        <v>1</v>
      </c>
      <c r="I18" s="3" t="str">
        <f>VLOOKUP(A18,misc!$C$2:$E$15,3,FALSE)</f>
        <v>ld</v>
      </c>
      <c r="J18" s="3">
        <f>(VLOOKUP(A18, misc!$C$2:$D$28, 2, FALSE)) * C18 * D18</f>
        <v>16</v>
      </c>
      <c r="K18" s="3" t="str">
        <f t="shared" si="0"/>
        <v>SVAR_BMS__ld</v>
      </c>
    </row>
    <row r="19" spans="1:11" x14ac:dyDescent="0.3">
      <c r="A19" t="s">
        <v>7</v>
      </c>
      <c r="C19">
        <v>2</v>
      </c>
      <c r="D19">
        <v>10</v>
      </c>
      <c r="I19" s="3" t="str">
        <f>VLOOKUP(A19,misc!$C$2:$E$15,3,FALSE)</f>
        <v>u8</v>
      </c>
      <c r="J19" s="3">
        <f>(VLOOKUP(A19, misc!$C$2:$D$28, 2, FALSE)) * C19 * D19</f>
        <v>20</v>
      </c>
      <c r="K19" s="3" t="str">
        <f t="shared" si="0"/>
        <v>SVAR_BMS__u8</v>
      </c>
    </row>
    <row r="20" spans="1:11" x14ac:dyDescent="0.3">
      <c r="A20" t="s">
        <v>13</v>
      </c>
      <c r="C20">
        <v>1</v>
      </c>
      <c r="D20">
        <v>1</v>
      </c>
      <c r="I20" s="3" t="str">
        <f>VLOOKUP(A20,misc!$C$2:$E$15,3,FALSE)</f>
        <v>u64</v>
      </c>
      <c r="J20" s="3">
        <f>(VLOOKUP(A20, misc!$C$2:$D$28, 2, FALSE)) * C20 * D20</f>
        <v>8</v>
      </c>
      <c r="K20" s="3" t="str">
        <f t="shared" si="0"/>
        <v>SVAR_BMS__u64</v>
      </c>
    </row>
    <row r="21" spans="1:11" x14ac:dyDescent="0.3">
      <c r="A21" t="s">
        <v>7</v>
      </c>
      <c r="C21">
        <v>1</v>
      </c>
      <c r="D21">
        <v>1</v>
      </c>
      <c r="I21" s="3" t="str">
        <f>VLOOKUP(A21,misc!$C$2:$E$15,3,FALSE)</f>
        <v>u8</v>
      </c>
      <c r="J21" s="3">
        <f>(VLOOKUP(A21, misc!$C$2:$D$28, 2, FALSE)) * C21 * D21</f>
        <v>1</v>
      </c>
      <c r="K21" s="3" t="str">
        <f t="shared" si="0"/>
        <v>SVAR_BMS__u8</v>
      </c>
    </row>
    <row r="22" spans="1:11" x14ac:dyDescent="0.3">
      <c r="A22" t="s">
        <v>7</v>
      </c>
      <c r="C22">
        <v>1</v>
      </c>
      <c r="D22">
        <v>1</v>
      </c>
      <c r="I22" s="3" t="str">
        <f>VLOOKUP(A22,misc!$C$2:$E$15,3,FALSE)</f>
        <v>u8</v>
      </c>
      <c r="J22" s="3">
        <f>(VLOOKUP(A22, misc!$C$2:$D$28, 2, FALSE)) * C22 * D22</f>
        <v>1</v>
      </c>
      <c r="K22" s="3" t="str">
        <f t="shared" si="0"/>
        <v>SVAR_BMS__u8</v>
      </c>
    </row>
    <row r="23" spans="1:11" x14ac:dyDescent="0.3">
      <c r="A23" t="s">
        <v>25</v>
      </c>
      <c r="C23">
        <v>1</v>
      </c>
      <c r="D23">
        <v>1</v>
      </c>
      <c r="I23" s="3" t="str">
        <f>VLOOKUP(A23,misc!$C$2:$E$15,3,FALSE)</f>
        <v>b</v>
      </c>
      <c r="J23" s="3">
        <f>(VLOOKUP(A23, misc!$C$2:$D$28, 2, FALSE)) * C23 * D23</f>
        <v>1</v>
      </c>
      <c r="K23" s="3" t="str">
        <f t="shared" si="0"/>
        <v>SVAR_BMS__b</v>
      </c>
    </row>
    <row r="24" spans="1:11" x14ac:dyDescent="0.3">
      <c r="A24" t="s">
        <v>25</v>
      </c>
      <c r="C24">
        <v>1</v>
      </c>
      <c r="D24">
        <v>1</v>
      </c>
      <c r="I24" s="3" t="str">
        <f>VLOOKUP(A24,misc!$C$2:$E$15,3,FALSE)</f>
        <v>b</v>
      </c>
      <c r="J24" s="3">
        <f>(VLOOKUP(A24, misc!$C$2:$D$28, 2, FALSE)) * C24 * D24</f>
        <v>1</v>
      </c>
      <c r="K24" s="3" t="str">
        <f t="shared" si="0"/>
        <v>SVAR_BMS__b</v>
      </c>
    </row>
    <row r="25" spans="1:11" x14ac:dyDescent="0.3">
      <c r="A25" t="s">
        <v>7</v>
      </c>
      <c r="C25">
        <v>1</v>
      </c>
      <c r="D25">
        <v>1</v>
      </c>
      <c r="I25" s="3" t="str">
        <f>VLOOKUP(A25,misc!$C$2:$E$15,3,FALSE)</f>
        <v>u8</v>
      </c>
      <c r="J25" s="3">
        <f>(VLOOKUP(A25, misc!$C$2:$D$28, 2, FALSE)) * C25 * D25</f>
        <v>1</v>
      </c>
      <c r="K25" s="3" t="str">
        <f t="shared" si="0"/>
        <v>SVAR_BMS__u8</v>
      </c>
    </row>
    <row r="26" spans="1:11" x14ac:dyDescent="0.3">
      <c r="A26" t="s">
        <v>7</v>
      </c>
      <c r="C26">
        <v>1</v>
      </c>
      <c r="D26">
        <v>1</v>
      </c>
      <c r="I26" s="3" t="str">
        <f>VLOOKUP(A26,misc!$C$2:$E$15,3,FALSE)</f>
        <v>u8</v>
      </c>
      <c r="J26" s="3">
        <f>(VLOOKUP(A26, misc!$C$2:$D$28, 2, FALSE)) * C26 * D26</f>
        <v>1</v>
      </c>
      <c r="K26" s="3" t="str">
        <f t="shared" si="0"/>
        <v>SVAR_BMS__u8</v>
      </c>
    </row>
    <row r="27" spans="1:11" x14ac:dyDescent="0.3">
      <c r="A27" t="s">
        <v>7</v>
      </c>
      <c r="C27">
        <v>1</v>
      </c>
      <c r="D27">
        <v>1</v>
      </c>
      <c r="I27" s="3" t="str">
        <f>VLOOKUP(A27,misc!$C$2:$E$15,3,FALSE)</f>
        <v>u8</v>
      </c>
      <c r="J27" s="3">
        <f>(VLOOKUP(A27, misc!$C$2:$D$28, 2, FALSE)) * C27 * D27</f>
        <v>1</v>
      </c>
      <c r="K27" s="3" t="str">
        <f t="shared" si="0"/>
        <v>SVAR_BMS__u8</v>
      </c>
    </row>
    <row r="28" spans="1:11" x14ac:dyDescent="0.3">
      <c r="A28" t="s">
        <v>7</v>
      </c>
      <c r="C28">
        <v>1</v>
      </c>
      <c r="D28">
        <v>1</v>
      </c>
      <c r="I28" s="3" t="str">
        <f>VLOOKUP(A28,misc!$C$2:$E$15,3,FALSE)</f>
        <v>u8</v>
      </c>
      <c r="J28" s="3">
        <f>(VLOOKUP(A28, misc!$C$2:$D$28, 2, FALSE)) * C28 * D28</f>
        <v>1</v>
      </c>
      <c r="K28" s="3" t="str">
        <f t="shared" si="0"/>
        <v>SVAR_BMS__u8</v>
      </c>
    </row>
    <row r="29" spans="1:11" x14ac:dyDescent="0.3">
      <c r="A29" t="s">
        <v>7</v>
      </c>
      <c r="C29">
        <v>1</v>
      </c>
      <c r="D29">
        <v>1</v>
      </c>
      <c r="I29" s="3" t="str">
        <f>VLOOKUP(A29,misc!$C$2:$E$15,3,FALSE)</f>
        <v>u8</v>
      </c>
      <c r="J29" s="3">
        <f>(VLOOKUP(A29, misc!$C$2:$D$28, 2, FALSE)) * C29 * D29</f>
        <v>1</v>
      </c>
      <c r="K29" s="3" t="str">
        <f t="shared" si="0"/>
        <v>SVAR_BMS__u8</v>
      </c>
    </row>
    <row r="30" spans="1:11" x14ac:dyDescent="0.3">
      <c r="A30" t="s">
        <v>26</v>
      </c>
      <c r="C30">
        <v>1</v>
      </c>
      <c r="D30">
        <v>1</v>
      </c>
      <c r="I30" s="3" t="str">
        <f>VLOOKUP(A30,misc!$C$2:$E$15,3,FALSE)</f>
        <v>add</v>
      </c>
      <c r="J30" s="3">
        <f>(VLOOKUP(A30, misc!$C$2:$D$28, 2, FALSE)) * C30 * D30</f>
        <v>4</v>
      </c>
      <c r="K30" s="3" t="str">
        <f t="shared" si="0"/>
        <v>SVAR_BMS__add</v>
      </c>
    </row>
    <row r="31" spans="1:11" x14ac:dyDescent="0.3">
      <c r="A31" t="s">
        <v>7</v>
      </c>
      <c r="C31">
        <v>1</v>
      </c>
      <c r="D31">
        <v>1</v>
      </c>
      <c r="I31" s="3" t="str">
        <f>VLOOKUP(A31,misc!$C$2:$E$15,3,FALSE)</f>
        <v>u8</v>
      </c>
      <c r="J31" s="3">
        <f>(VLOOKUP(A31, misc!$C$2:$D$28, 2, FALSE)) * C31 * D31</f>
        <v>1</v>
      </c>
      <c r="K31" s="3" t="str">
        <f t="shared" si="0"/>
        <v>SVAR_BMS__u8</v>
      </c>
    </row>
    <row r="32" spans="1:11" x14ac:dyDescent="0.3">
      <c r="A32" t="s">
        <v>7</v>
      </c>
      <c r="C32">
        <v>1</v>
      </c>
      <c r="D32">
        <v>1</v>
      </c>
      <c r="I32" s="3" t="str">
        <f>VLOOKUP(A32,misc!$C$2:$E$15,3,FALSE)</f>
        <v>u8</v>
      </c>
      <c r="J32" s="3">
        <f>(VLOOKUP(A32, misc!$C$2:$D$28, 2, FALSE)) * C32 * D32</f>
        <v>1</v>
      </c>
      <c r="K32" s="3" t="str">
        <f t="shared" si="0"/>
        <v>SVAR_BMS__u8</v>
      </c>
    </row>
    <row r="33" spans="1:11" x14ac:dyDescent="0.3">
      <c r="A33" t="s">
        <v>7</v>
      </c>
      <c r="C33">
        <v>1</v>
      </c>
      <c r="D33">
        <v>1</v>
      </c>
      <c r="I33" s="3" t="str">
        <f>VLOOKUP(A33,misc!$C$2:$E$15,3,FALSE)</f>
        <v>u8</v>
      </c>
      <c r="J33" s="3">
        <f>(VLOOKUP(A33, misc!$C$2:$D$28, 2, FALSE)) * C33 * D33</f>
        <v>1</v>
      </c>
      <c r="K33" s="3" t="str">
        <f t="shared" si="0"/>
        <v>SVAR_BMS__u8</v>
      </c>
    </row>
    <row r="34" spans="1:11" x14ac:dyDescent="0.3">
      <c r="A34" t="s">
        <v>7</v>
      </c>
      <c r="C34">
        <v>1</v>
      </c>
      <c r="D34">
        <v>1</v>
      </c>
      <c r="I34" s="3" t="str">
        <f>VLOOKUP(A34,misc!$C$2:$E$15,3,FALSE)</f>
        <v>u8</v>
      </c>
      <c r="J34" s="3">
        <f>(VLOOKUP(A34, misc!$C$2:$D$28, 2, FALSE)) * C34 * D34</f>
        <v>1</v>
      </c>
      <c r="K34" s="3" t="str">
        <f t="shared" si="0"/>
        <v>SVAR_BMS__u8</v>
      </c>
    </row>
    <row r="35" spans="1:11" x14ac:dyDescent="0.3">
      <c r="A35" t="s">
        <v>16</v>
      </c>
      <c r="C35">
        <v>1</v>
      </c>
      <c r="D35">
        <v>1</v>
      </c>
      <c r="I35" s="3" t="str">
        <f>VLOOKUP(A35,misc!$C$2:$E$15,3,FALSE)</f>
        <v>f</v>
      </c>
      <c r="J35" s="3">
        <f>(VLOOKUP(A35, misc!$C$2:$D$28, 2, FALSE)) * C35 * D35</f>
        <v>4</v>
      </c>
      <c r="K35" s="3" t="str">
        <f t="shared" si="0"/>
        <v>SVAR_BMS__f</v>
      </c>
    </row>
    <row r="36" spans="1:11" x14ac:dyDescent="0.3">
      <c r="A36" t="s">
        <v>7</v>
      </c>
      <c r="C36">
        <v>1</v>
      </c>
      <c r="D36">
        <v>1</v>
      </c>
      <c r="I36" s="3" t="str">
        <f>VLOOKUP(A36,misc!$C$2:$E$15,3,FALSE)</f>
        <v>u8</v>
      </c>
      <c r="J36" s="3">
        <f>(VLOOKUP(A36, misc!$C$2:$D$28, 2, FALSE)) * C36 * D36</f>
        <v>1</v>
      </c>
      <c r="K36" s="3" t="str">
        <f t="shared" si="0"/>
        <v>SVAR_BMS__u8</v>
      </c>
    </row>
    <row r="37" spans="1:11" x14ac:dyDescent="0.3">
      <c r="A37" t="s">
        <v>7</v>
      </c>
      <c r="C37">
        <v>1</v>
      </c>
      <c r="D37">
        <v>1</v>
      </c>
      <c r="I37" s="3" t="str">
        <f>VLOOKUP(A37,misc!$C$2:$E$15,3,FALSE)</f>
        <v>u8</v>
      </c>
      <c r="J37" s="3">
        <f>(VLOOKUP(A37, misc!$C$2:$D$28, 2, FALSE)) * C37 * D37</f>
        <v>1</v>
      </c>
      <c r="K37" s="3" t="str">
        <f t="shared" si="0"/>
        <v>SVAR_BMS__u8</v>
      </c>
    </row>
    <row r="38" spans="1:11" x14ac:dyDescent="0.3">
      <c r="A38" t="s">
        <v>7</v>
      </c>
      <c r="C38">
        <v>1</v>
      </c>
      <c r="D38">
        <v>1</v>
      </c>
      <c r="I38" s="3" t="str">
        <f>VLOOKUP(A38,misc!$C$2:$E$15,3,FALSE)</f>
        <v>u8</v>
      </c>
      <c r="J38" s="3">
        <f>(VLOOKUP(A38, misc!$C$2:$D$28, 2, FALSE)) * C38 * D38</f>
        <v>1</v>
      </c>
      <c r="K38" s="3" t="str">
        <f t="shared" si="0"/>
        <v>SVAR_BMS__u8</v>
      </c>
    </row>
    <row r="39" spans="1:11" x14ac:dyDescent="0.3">
      <c r="A39" t="s">
        <v>8</v>
      </c>
      <c r="C39">
        <v>1</v>
      </c>
      <c r="D39">
        <v>1</v>
      </c>
      <c r="I39" s="3" t="str">
        <f>VLOOKUP(A39,misc!$C$2:$E$15,3,FALSE)</f>
        <v>s8</v>
      </c>
      <c r="J39" s="3">
        <f>(VLOOKUP(A39, misc!$C$2:$D$28, 2, FALSE)) * C39 * D39</f>
        <v>1</v>
      </c>
      <c r="K39" s="3" t="str">
        <f t="shared" si="0"/>
        <v>SVAR_BMS__s8</v>
      </c>
    </row>
    <row r="40" spans="1:11" x14ac:dyDescent="0.3">
      <c r="A40" t="s">
        <v>25</v>
      </c>
      <c r="C40">
        <v>1</v>
      </c>
      <c r="D40">
        <v>1</v>
      </c>
      <c r="I40" s="3" t="str">
        <f>VLOOKUP(A40,misc!$C$2:$E$15,3,FALSE)</f>
        <v>b</v>
      </c>
      <c r="J40" s="3">
        <f>(VLOOKUP(A40, misc!$C$2:$D$28, 2, FALSE)) * C40 * D40</f>
        <v>1</v>
      </c>
      <c r="K40" s="3" t="str">
        <f t="shared" si="0"/>
        <v>SVAR_BMS__b</v>
      </c>
    </row>
    <row r="41" spans="1:11" x14ac:dyDescent="0.3">
      <c r="A41" t="s">
        <v>12</v>
      </c>
      <c r="C41">
        <v>1</v>
      </c>
      <c r="D41">
        <v>1</v>
      </c>
      <c r="I41" s="3" t="str">
        <f>VLOOKUP(A41,misc!$C$2:$E$15,3,FALSE)</f>
        <v>s32</v>
      </c>
      <c r="J41" s="3">
        <f>(VLOOKUP(A41, misc!$C$2:$D$28, 2, FALSE)) * C41 * D41</f>
        <v>4</v>
      </c>
      <c r="K41" s="3" t="str">
        <f t="shared" si="0"/>
        <v>SVAR_BMS__s32</v>
      </c>
    </row>
  </sheetData>
  <mergeCells count="1">
    <mergeCell ref="I5:K5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61E457D-E5CC-4CEC-AB3C-F9FA4D36DB6E}">
          <x14:formula1>
            <xm:f>misc!$B$2:$B$4</xm:f>
          </x14:formula1>
          <xm:sqref>B2</xm:sqref>
        </x14:dataValidation>
        <x14:dataValidation type="list" allowBlank="1" showInputMessage="1" showErrorMessage="1" xr:uid="{A2FDD24C-A17A-4C66-9E87-90BAD1E94FBB}">
          <x14:formula1>
            <xm:f>misc!$A$2:$A$13</xm:f>
          </x14:formula1>
          <xm:sqref>B1</xm:sqref>
        </x14:dataValidation>
        <x14:dataValidation type="list" allowBlank="1" showInputMessage="1" showErrorMessage="1" xr:uid="{C2837F2E-8B69-45C0-8E26-B93D8BF066F5}">
          <x14:formula1>
            <xm:f>misc!$C$2:$C$22</xm:f>
          </x14:formula1>
          <xm:sqref>A7:A41</xm:sqref>
        </x14:dataValidation>
        <x14:dataValidation type="custom" allowBlank="1" showInputMessage="1" showErrorMessage="1" xr:uid="{79DC643B-44C2-4AF9-AC2D-47E52521BAA1}">
          <x14:formula1>
            <xm:f>(VLOOKUP(A7, misc!$C$2:$D$28, 2, FALSE)) * C7 * D7</xm:f>
          </x14:formula1>
          <xm:sqref>J7:J41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17DF-BAAB-48CC-9841-CFD94585E3A1}">
  <dimension ref="A1:K41"/>
  <sheetViews>
    <sheetView workbookViewId="0">
      <selection activeCell="B10" sqref="B10"/>
    </sheetView>
  </sheetViews>
  <sheetFormatPr defaultRowHeight="14.4" x14ac:dyDescent="0.3"/>
  <cols>
    <col min="1" max="1" width="21.88671875" customWidth="1"/>
    <col min="2" max="2" width="34.77734375" customWidth="1"/>
    <col min="3" max="3" width="9.88671875" customWidth="1"/>
    <col min="4" max="4" width="11.44140625" customWidth="1"/>
    <col min="5" max="8" width="12.109375" customWidth="1"/>
    <col min="9" max="9" width="7.21875" customWidth="1"/>
    <col min="10" max="10" width="3.77734375" customWidth="1"/>
    <col min="11" max="11" width="33.6640625" customWidth="1"/>
  </cols>
  <sheetData>
    <row r="1" spans="1:11" x14ac:dyDescent="0.3">
      <c r="A1" s="1" t="s">
        <v>0</v>
      </c>
      <c r="B1" t="s">
        <v>2</v>
      </c>
    </row>
    <row r="2" spans="1:11" x14ac:dyDescent="0.3">
      <c r="A2" s="1" t="s">
        <v>18</v>
      </c>
      <c r="B2" t="s">
        <v>22</v>
      </c>
    </row>
    <row r="3" spans="1:11" x14ac:dyDescent="0.3">
      <c r="A3" s="1" t="s">
        <v>57</v>
      </c>
      <c r="B3" s="4">
        <v>1024</v>
      </c>
      <c r="C3" s="1" t="s">
        <v>28</v>
      </c>
    </row>
    <row r="4" spans="1:11" x14ac:dyDescent="0.3">
      <c r="A4" s="1" t="s">
        <v>23</v>
      </c>
      <c r="B4" s="4" t="s">
        <v>68</v>
      </c>
    </row>
    <row r="5" spans="1:11" x14ac:dyDescent="0.3">
      <c r="A5" s="1" t="s">
        <v>27</v>
      </c>
      <c r="B5" s="4">
        <v>300</v>
      </c>
      <c r="C5" s="1" t="s">
        <v>29</v>
      </c>
      <c r="I5" s="14" t="s">
        <v>53</v>
      </c>
      <c r="J5" s="14"/>
      <c r="K5" s="14"/>
    </row>
    <row r="6" spans="1:11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/>
      <c r="G6" s="1"/>
      <c r="H6" s="1"/>
      <c r="I6" s="2" t="s">
        <v>55</v>
      </c>
      <c r="J6" s="2" t="s">
        <v>51</v>
      </c>
      <c r="K6" s="2" t="s">
        <v>52</v>
      </c>
    </row>
    <row r="7" spans="1:11" x14ac:dyDescent="0.3">
      <c r="A7" t="s">
        <v>7</v>
      </c>
      <c r="B7" t="s">
        <v>56</v>
      </c>
      <c r="C7">
        <v>10</v>
      </c>
      <c r="D7">
        <v>1</v>
      </c>
      <c r="I7" s="3" t="str">
        <f>VLOOKUP(A7,misc!$C$2:$E$15,3,FALSE)</f>
        <v>u8</v>
      </c>
      <c r="J7" s="3">
        <f>(VLOOKUP(A7, misc!$C$2:$D$28, 2, FALSE)) * C7 * D7</f>
        <v>10</v>
      </c>
      <c r="K7" s="3" t="str">
        <f>CONCATENATE("SVAR_",$B$4,"_",B7,"_",I7)</f>
        <v>SVAR_RECT_Battery_Count_u8</v>
      </c>
    </row>
    <row r="8" spans="1:11" x14ac:dyDescent="0.3">
      <c r="A8" t="s">
        <v>7</v>
      </c>
      <c r="B8" t="s">
        <v>59</v>
      </c>
      <c r="C8">
        <v>1</v>
      </c>
      <c r="D8">
        <v>1</v>
      </c>
      <c r="I8" s="3" t="str">
        <f>VLOOKUP(A8,misc!$C$2:$E$15,3,FALSE)</f>
        <v>u8</v>
      </c>
      <c r="J8" s="3">
        <f>(VLOOKUP(A8, misc!$C$2:$D$28, 2, FALSE)) * C8 * D8</f>
        <v>1</v>
      </c>
      <c r="K8" s="3" t="str">
        <f t="shared" ref="K8:K41" si="0">CONCATENATE("SVAR_",$B$4,"_",B8,"_",I8)</f>
        <v>SVAR_RECT_UnderVolt_Threshold_u8</v>
      </c>
    </row>
    <row r="9" spans="1:11" x14ac:dyDescent="0.3">
      <c r="A9" t="s">
        <v>7</v>
      </c>
      <c r="B9" t="s">
        <v>58</v>
      </c>
      <c r="C9">
        <v>1</v>
      </c>
      <c r="D9">
        <v>1</v>
      </c>
      <c r="I9" s="3" t="str">
        <f>VLOOKUP(A9,misc!$C$2:$E$15,3,FALSE)</f>
        <v>u8</v>
      </c>
      <c r="J9" s="3">
        <f>(VLOOKUP(A9, misc!$C$2:$D$28, 2, FALSE)) * C9 * D9</f>
        <v>1</v>
      </c>
      <c r="K9" s="3" t="str">
        <f t="shared" si="0"/>
        <v>SVAR_RECT_OverVolt_Threshold_u8</v>
      </c>
    </row>
    <row r="10" spans="1:11" x14ac:dyDescent="0.3">
      <c r="A10" t="s">
        <v>10</v>
      </c>
      <c r="C10">
        <v>1</v>
      </c>
      <c r="D10">
        <v>1</v>
      </c>
      <c r="I10" s="3" t="str">
        <f>VLOOKUP(A10,misc!$C$2:$E$15,3,FALSE)</f>
        <v>s16</v>
      </c>
      <c r="J10" s="3">
        <f>(VLOOKUP(A10, misc!$C$2:$D$28, 2, FALSE)) * C10 * D10</f>
        <v>2</v>
      </c>
      <c r="K10" s="3" t="str">
        <f t="shared" si="0"/>
        <v>SVAR_RECT__s16</v>
      </c>
    </row>
    <row r="11" spans="1:11" x14ac:dyDescent="0.3">
      <c r="A11" t="s">
        <v>7</v>
      </c>
      <c r="C11">
        <v>1</v>
      </c>
      <c r="D11">
        <v>1</v>
      </c>
      <c r="I11" s="3" t="str">
        <f>VLOOKUP(A11,misc!$C$2:$E$15,3,FALSE)</f>
        <v>u8</v>
      </c>
      <c r="J11" s="3">
        <f>(VLOOKUP(A11, misc!$C$2:$D$28, 2, FALSE)) * C11 * D11</f>
        <v>1</v>
      </c>
      <c r="K11" s="3" t="str">
        <f t="shared" si="0"/>
        <v>SVAR_RECT__u8</v>
      </c>
    </row>
    <row r="12" spans="1:11" x14ac:dyDescent="0.3">
      <c r="A12" t="s">
        <v>7</v>
      </c>
      <c r="C12">
        <v>1</v>
      </c>
      <c r="D12">
        <v>1</v>
      </c>
      <c r="I12" s="3" t="str">
        <f>VLOOKUP(A12,misc!$C$2:$E$15,3,FALSE)</f>
        <v>u8</v>
      </c>
      <c r="J12" s="3">
        <f>(VLOOKUP(A12, misc!$C$2:$D$28, 2, FALSE)) * C12 * D12</f>
        <v>1</v>
      </c>
      <c r="K12" s="3" t="str">
        <f t="shared" si="0"/>
        <v>SVAR_RECT__u8</v>
      </c>
    </row>
    <row r="13" spans="1:11" x14ac:dyDescent="0.3">
      <c r="A13" t="s">
        <v>7</v>
      </c>
      <c r="C13">
        <v>1</v>
      </c>
      <c r="D13">
        <v>1</v>
      </c>
      <c r="I13" s="3" t="str">
        <f>VLOOKUP(A13,misc!$C$2:$E$15,3,FALSE)</f>
        <v>u8</v>
      </c>
      <c r="J13" s="3">
        <f>(VLOOKUP(A13, misc!$C$2:$D$28, 2, FALSE)) * C13 * D13</f>
        <v>1</v>
      </c>
      <c r="K13" s="3" t="str">
        <f t="shared" si="0"/>
        <v>SVAR_RECT__u8</v>
      </c>
    </row>
    <row r="14" spans="1:11" x14ac:dyDescent="0.3">
      <c r="A14" t="s">
        <v>7</v>
      </c>
      <c r="C14">
        <v>1</v>
      </c>
      <c r="D14">
        <v>1</v>
      </c>
      <c r="I14" s="3" t="str">
        <f>VLOOKUP(A14,misc!$C$2:$E$15,3,FALSE)</f>
        <v>u8</v>
      </c>
      <c r="J14" s="3">
        <f>(VLOOKUP(A14, misc!$C$2:$D$28, 2, FALSE)) * C14 * D14</f>
        <v>1</v>
      </c>
      <c r="K14" s="3" t="str">
        <f t="shared" si="0"/>
        <v>SVAR_RECT__u8</v>
      </c>
    </row>
    <row r="15" spans="1:11" x14ac:dyDescent="0.3">
      <c r="A15" t="s">
        <v>11</v>
      </c>
      <c r="C15">
        <v>1</v>
      </c>
      <c r="D15">
        <v>1</v>
      </c>
      <c r="I15" s="3" t="str">
        <f>VLOOKUP(A15,misc!$C$2:$E$15,3,FALSE)</f>
        <v>u32</v>
      </c>
      <c r="J15" s="3">
        <f>(VLOOKUP(A15, misc!$C$2:$D$28, 2, FALSE)) * C15 * D15</f>
        <v>4</v>
      </c>
      <c r="K15" s="3" t="str">
        <f t="shared" si="0"/>
        <v>SVAR_RECT__u32</v>
      </c>
    </row>
    <row r="16" spans="1:11" x14ac:dyDescent="0.3">
      <c r="A16" t="s">
        <v>7</v>
      </c>
      <c r="C16">
        <v>1</v>
      </c>
      <c r="D16">
        <v>1</v>
      </c>
      <c r="I16" s="3" t="str">
        <f>VLOOKUP(A16,misc!$C$2:$E$15,3,FALSE)</f>
        <v>u8</v>
      </c>
      <c r="J16" s="3">
        <f>(VLOOKUP(A16, misc!$C$2:$D$28, 2, FALSE)) * C16 * D16</f>
        <v>1</v>
      </c>
      <c r="K16" s="3" t="str">
        <f t="shared" si="0"/>
        <v>SVAR_RECT__u8</v>
      </c>
    </row>
    <row r="17" spans="1:11" x14ac:dyDescent="0.3">
      <c r="A17" t="s">
        <v>7</v>
      </c>
      <c r="C17">
        <v>1</v>
      </c>
      <c r="D17">
        <v>1</v>
      </c>
      <c r="I17" s="3" t="str">
        <f>VLOOKUP(A17,misc!$C$2:$E$15,3,FALSE)</f>
        <v>u8</v>
      </c>
      <c r="J17" s="3">
        <f>(VLOOKUP(A17, misc!$C$2:$D$28, 2, FALSE)) * C17 * D17</f>
        <v>1</v>
      </c>
      <c r="K17" s="3" t="str">
        <f t="shared" si="0"/>
        <v>SVAR_RECT__u8</v>
      </c>
    </row>
    <row r="18" spans="1:11" x14ac:dyDescent="0.3">
      <c r="A18" t="s">
        <v>24</v>
      </c>
      <c r="C18">
        <v>1</v>
      </c>
      <c r="D18">
        <v>1</v>
      </c>
      <c r="I18" s="3" t="str">
        <f>VLOOKUP(A18,misc!$C$2:$E$15,3,FALSE)</f>
        <v>ld</v>
      </c>
      <c r="J18" s="3">
        <f>(VLOOKUP(A18, misc!$C$2:$D$28, 2, FALSE)) * C18 * D18</f>
        <v>16</v>
      </c>
      <c r="K18" s="3" t="str">
        <f t="shared" si="0"/>
        <v>SVAR_RECT__ld</v>
      </c>
    </row>
    <row r="19" spans="1:11" x14ac:dyDescent="0.3">
      <c r="A19" t="s">
        <v>7</v>
      </c>
      <c r="C19">
        <v>2</v>
      </c>
      <c r="D19">
        <v>10</v>
      </c>
      <c r="I19" s="3" t="str">
        <f>VLOOKUP(A19,misc!$C$2:$E$15,3,FALSE)</f>
        <v>u8</v>
      </c>
      <c r="J19" s="3">
        <f>(VLOOKUP(A19, misc!$C$2:$D$28, 2, FALSE)) * C19 * D19</f>
        <v>20</v>
      </c>
      <c r="K19" s="3" t="str">
        <f t="shared" si="0"/>
        <v>SVAR_RECT__u8</v>
      </c>
    </row>
    <row r="20" spans="1:11" x14ac:dyDescent="0.3">
      <c r="A20" t="s">
        <v>13</v>
      </c>
      <c r="C20">
        <v>1</v>
      </c>
      <c r="D20">
        <v>1</v>
      </c>
      <c r="I20" s="3" t="str">
        <f>VLOOKUP(A20,misc!$C$2:$E$15,3,FALSE)</f>
        <v>u64</v>
      </c>
      <c r="J20" s="3">
        <f>(VLOOKUP(A20, misc!$C$2:$D$28, 2, FALSE)) * C20 * D20</f>
        <v>8</v>
      </c>
      <c r="K20" s="3" t="str">
        <f t="shared" si="0"/>
        <v>SVAR_RECT__u64</v>
      </c>
    </row>
    <row r="21" spans="1:11" x14ac:dyDescent="0.3">
      <c r="A21" t="s">
        <v>7</v>
      </c>
      <c r="C21">
        <v>1</v>
      </c>
      <c r="D21">
        <v>1</v>
      </c>
      <c r="I21" s="3" t="str">
        <f>VLOOKUP(A21,misc!$C$2:$E$15,3,FALSE)</f>
        <v>u8</v>
      </c>
      <c r="J21" s="3">
        <f>(VLOOKUP(A21, misc!$C$2:$D$28, 2, FALSE)) * C21 * D21</f>
        <v>1</v>
      </c>
      <c r="K21" s="3" t="str">
        <f t="shared" si="0"/>
        <v>SVAR_RECT__u8</v>
      </c>
    </row>
    <row r="22" spans="1:11" x14ac:dyDescent="0.3">
      <c r="A22" t="s">
        <v>7</v>
      </c>
      <c r="C22">
        <v>1</v>
      </c>
      <c r="D22">
        <v>1</v>
      </c>
      <c r="I22" s="3" t="str">
        <f>VLOOKUP(A22,misc!$C$2:$E$15,3,FALSE)</f>
        <v>u8</v>
      </c>
      <c r="J22" s="3">
        <f>(VLOOKUP(A22, misc!$C$2:$D$28, 2, FALSE)) * C22 * D22</f>
        <v>1</v>
      </c>
      <c r="K22" s="3" t="str">
        <f t="shared" si="0"/>
        <v>SVAR_RECT__u8</v>
      </c>
    </row>
    <row r="23" spans="1:11" x14ac:dyDescent="0.3">
      <c r="A23" t="s">
        <v>25</v>
      </c>
      <c r="C23">
        <v>1</v>
      </c>
      <c r="D23">
        <v>1</v>
      </c>
      <c r="I23" s="3" t="str">
        <f>VLOOKUP(A23,misc!$C$2:$E$15,3,FALSE)</f>
        <v>b</v>
      </c>
      <c r="J23" s="3">
        <f>(VLOOKUP(A23, misc!$C$2:$D$28, 2, FALSE)) * C23 * D23</f>
        <v>1</v>
      </c>
      <c r="K23" s="3" t="str">
        <f t="shared" si="0"/>
        <v>SVAR_RECT__b</v>
      </c>
    </row>
    <row r="24" spans="1:11" x14ac:dyDescent="0.3">
      <c r="A24" t="s">
        <v>25</v>
      </c>
      <c r="C24">
        <v>1</v>
      </c>
      <c r="D24">
        <v>1</v>
      </c>
      <c r="I24" s="3" t="str">
        <f>VLOOKUP(A24,misc!$C$2:$E$15,3,FALSE)</f>
        <v>b</v>
      </c>
      <c r="J24" s="3">
        <f>(VLOOKUP(A24, misc!$C$2:$D$28, 2, FALSE)) * C24 * D24</f>
        <v>1</v>
      </c>
      <c r="K24" s="3" t="str">
        <f t="shared" si="0"/>
        <v>SVAR_RECT__b</v>
      </c>
    </row>
    <row r="25" spans="1:11" x14ac:dyDescent="0.3">
      <c r="A25" t="s">
        <v>7</v>
      </c>
      <c r="C25">
        <v>1</v>
      </c>
      <c r="D25">
        <v>1</v>
      </c>
      <c r="I25" s="3" t="str">
        <f>VLOOKUP(A25,misc!$C$2:$E$15,3,FALSE)</f>
        <v>u8</v>
      </c>
      <c r="J25" s="3">
        <f>(VLOOKUP(A25, misc!$C$2:$D$28, 2, FALSE)) * C25 * D25</f>
        <v>1</v>
      </c>
      <c r="K25" s="3" t="str">
        <f t="shared" si="0"/>
        <v>SVAR_RECT__u8</v>
      </c>
    </row>
    <row r="26" spans="1:11" x14ac:dyDescent="0.3">
      <c r="A26" t="s">
        <v>7</v>
      </c>
      <c r="C26">
        <v>1</v>
      </c>
      <c r="D26">
        <v>1</v>
      </c>
      <c r="I26" s="3" t="str">
        <f>VLOOKUP(A26,misc!$C$2:$E$15,3,FALSE)</f>
        <v>u8</v>
      </c>
      <c r="J26" s="3">
        <f>(VLOOKUP(A26, misc!$C$2:$D$28, 2, FALSE)) * C26 * D26</f>
        <v>1</v>
      </c>
      <c r="K26" s="3" t="str">
        <f t="shared" si="0"/>
        <v>SVAR_RECT__u8</v>
      </c>
    </row>
    <row r="27" spans="1:11" x14ac:dyDescent="0.3">
      <c r="A27" t="s">
        <v>7</v>
      </c>
      <c r="C27">
        <v>1</v>
      </c>
      <c r="D27">
        <v>1</v>
      </c>
      <c r="I27" s="3" t="str">
        <f>VLOOKUP(A27,misc!$C$2:$E$15,3,FALSE)</f>
        <v>u8</v>
      </c>
      <c r="J27" s="3">
        <f>(VLOOKUP(A27, misc!$C$2:$D$28, 2, FALSE)) * C27 * D27</f>
        <v>1</v>
      </c>
      <c r="K27" s="3" t="str">
        <f t="shared" si="0"/>
        <v>SVAR_RECT__u8</v>
      </c>
    </row>
    <row r="28" spans="1:11" x14ac:dyDescent="0.3">
      <c r="A28" t="s">
        <v>7</v>
      </c>
      <c r="C28">
        <v>1</v>
      </c>
      <c r="D28">
        <v>1</v>
      </c>
      <c r="I28" s="3" t="str">
        <f>VLOOKUP(A28,misc!$C$2:$E$15,3,FALSE)</f>
        <v>u8</v>
      </c>
      <c r="J28" s="3">
        <f>(VLOOKUP(A28, misc!$C$2:$D$28, 2, FALSE)) * C28 * D28</f>
        <v>1</v>
      </c>
      <c r="K28" s="3" t="str">
        <f t="shared" si="0"/>
        <v>SVAR_RECT__u8</v>
      </c>
    </row>
    <row r="29" spans="1:11" x14ac:dyDescent="0.3">
      <c r="A29" t="s">
        <v>7</v>
      </c>
      <c r="C29">
        <v>1</v>
      </c>
      <c r="D29">
        <v>1</v>
      </c>
      <c r="I29" s="3" t="str">
        <f>VLOOKUP(A29,misc!$C$2:$E$15,3,FALSE)</f>
        <v>u8</v>
      </c>
      <c r="J29" s="3">
        <f>(VLOOKUP(A29, misc!$C$2:$D$28, 2, FALSE)) * C29 * D29</f>
        <v>1</v>
      </c>
      <c r="K29" s="3" t="str">
        <f t="shared" si="0"/>
        <v>SVAR_RECT__u8</v>
      </c>
    </row>
    <row r="30" spans="1:11" x14ac:dyDescent="0.3">
      <c r="A30" t="s">
        <v>26</v>
      </c>
      <c r="C30">
        <v>1</v>
      </c>
      <c r="D30">
        <v>1</v>
      </c>
      <c r="I30" s="3" t="str">
        <f>VLOOKUP(A30,misc!$C$2:$E$15,3,FALSE)</f>
        <v>add</v>
      </c>
      <c r="J30" s="3">
        <f>(VLOOKUP(A30, misc!$C$2:$D$28, 2, FALSE)) * C30 * D30</f>
        <v>4</v>
      </c>
      <c r="K30" s="3" t="str">
        <f t="shared" si="0"/>
        <v>SVAR_RECT__add</v>
      </c>
    </row>
    <row r="31" spans="1:11" x14ac:dyDescent="0.3">
      <c r="A31" t="s">
        <v>7</v>
      </c>
      <c r="C31">
        <v>1</v>
      </c>
      <c r="D31">
        <v>1</v>
      </c>
      <c r="I31" s="3" t="str">
        <f>VLOOKUP(A31,misc!$C$2:$E$15,3,FALSE)</f>
        <v>u8</v>
      </c>
      <c r="J31" s="3">
        <f>(VLOOKUP(A31, misc!$C$2:$D$28, 2, FALSE)) * C31 * D31</f>
        <v>1</v>
      </c>
      <c r="K31" s="3" t="str">
        <f t="shared" si="0"/>
        <v>SVAR_RECT__u8</v>
      </c>
    </row>
    <row r="32" spans="1:11" x14ac:dyDescent="0.3">
      <c r="A32" t="s">
        <v>7</v>
      </c>
      <c r="C32">
        <v>1</v>
      </c>
      <c r="D32">
        <v>1</v>
      </c>
      <c r="I32" s="3" t="str">
        <f>VLOOKUP(A32,misc!$C$2:$E$15,3,FALSE)</f>
        <v>u8</v>
      </c>
      <c r="J32" s="3">
        <f>(VLOOKUP(A32, misc!$C$2:$D$28, 2, FALSE)) * C32 * D32</f>
        <v>1</v>
      </c>
      <c r="K32" s="3" t="str">
        <f t="shared" si="0"/>
        <v>SVAR_RECT__u8</v>
      </c>
    </row>
    <row r="33" spans="1:11" x14ac:dyDescent="0.3">
      <c r="A33" t="s">
        <v>7</v>
      </c>
      <c r="C33">
        <v>1</v>
      </c>
      <c r="D33">
        <v>1</v>
      </c>
      <c r="I33" s="3" t="str">
        <f>VLOOKUP(A33,misc!$C$2:$E$15,3,FALSE)</f>
        <v>u8</v>
      </c>
      <c r="J33" s="3">
        <f>(VLOOKUP(A33, misc!$C$2:$D$28, 2, FALSE)) * C33 * D33</f>
        <v>1</v>
      </c>
      <c r="K33" s="3" t="str">
        <f t="shared" si="0"/>
        <v>SVAR_RECT__u8</v>
      </c>
    </row>
    <row r="34" spans="1:11" x14ac:dyDescent="0.3">
      <c r="A34" t="s">
        <v>7</v>
      </c>
      <c r="C34">
        <v>1</v>
      </c>
      <c r="D34">
        <v>1</v>
      </c>
      <c r="I34" s="3" t="str">
        <f>VLOOKUP(A34,misc!$C$2:$E$15,3,FALSE)</f>
        <v>u8</v>
      </c>
      <c r="J34" s="3">
        <f>(VLOOKUP(A34, misc!$C$2:$D$28, 2, FALSE)) * C34 * D34</f>
        <v>1</v>
      </c>
      <c r="K34" s="3" t="str">
        <f t="shared" si="0"/>
        <v>SVAR_RECT__u8</v>
      </c>
    </row>
    <row r="35" spans="1:11" x14ac:dyDescent="0.3">
      <c r="A35" t="s">
        <v>16</v>
      </c>
      <c r="C35">
        <v>1</v>
      </c>
      <c r="D35">
        <v>1</v>
      </c>
      <c r="I35" s="3" t="str">
        <f>VLOOKUP(A35,misc!$C$2:$E$15,3,FALSE)</f>
        <v>f</v>
      </c>
      <c r="J35" s="3">
        <f>(VLOOKUP(A35, misc!$C$2:$D$28, 2, FALSE)) * C35 * D35</f>
        <v>4</v>
      </c>
      <c r="K35" s="3" t="str">
        <f t="shared" si="0"/>
        <v>SVAR_RECT__f</v>
      </c>
    </row>
    <row r="36" spans="1:11" x14ac:dyDescent="0.3">
      <c r="A36" t="s">
        <v>7</v>
      </c>
      <c r="C36">
        <v>1</v>
      </c>
      <c r="D36">
        <v>1</v>
      </c>
      <c r="I36" s="3" t="str">
        <f>VLOOKUP(A36,misc!$C$2:$E$15,3,FALSE)</f>
        <v>u8</v>
      </c>
      <c r="J36" s="3">
        <f>(VLOOKUP(A36, misc!$C$2:$D$28, 2, FALSE)) * C36 * D36</f>
        <v>1</v>
      </c>
      <c r="K36" s="3" t="str">
        <f t="shared" si="0"/>
        <v>SVAR_RECT__u8</v>
      </c>
    </row>
    <row r="37" spans="1:11" x14ac:dyDescent="0.3">
      <c r="A37" t="s">
        <v>7</v>
      </c>
      <c r="C37">
        <v>1</v>
      </c>
      <c r="D37">
        <v>1</v>
      </c>
      <c r="I37" s="3" t="str">
        <f>VLOOKUP(A37,misc!$C$2:$E$15,3,FALSE)</f>
        <v>u8</v>
      </c>
      <c r="J37" s="3">
        <f>(VLOOKUP(A37, misc!$C$2:$D$28, 2, FALSE)) * C37 * D37</f>
        <v>1</v>
      </c>
      <c r="K37" s="3" t="str">
        <f t="shared" si="0"/>
        <v>SVAR_RECT__u8</v>
      </c>
    </row>
    <row r="38" spans="1:11" x14ac:dyDescent="0.3">
      <c r="A38" t="s">
        <v>7</v>
      </c>
      <c r="C38">
        <v>1</v>
      </c>
      <c r="D38">
        <v>1</v>
      </c>
      <c r="I38" s="3" t="str">
        <f>VLOOKUP(A38,misc!$C$2:$E$15,3,FALSE)</f>
        <v>u8</v>
      </c>
      <c r="J38" s="3">
        <f>(VLOOKUP(A38, misc!$C$2:$D$28, 2, FALSE)) * C38 * D38</f>
        <v>1</v>
      </c>
      <c r="K38" s="3" t="str">
        <f t="shared" si="0"/>
        <v>SVAR_RECT__u8</v>
      </c>
    </row>
    <row r="39" spans="1:11" x14ac:dyDescent="0.3">
      <c r="A39" t="s">
        <v>8</v>
      </c>
      <c r="C39">
        <v>1</v>
      </c>
      <c r="D39">
        <v>1</v>
      </c>
      <c r="I39" s="3" t="str">
        <f>VLOOKUP(A39,misc!$C$2:$E$15,3,FALSE)</f>
        <v>s8</v>
      </c>
      <c r="J39" s="3">
        <f>(VLOOKUP(A39, misc!$C$2:$D$28, 2, FALSE)) * C39 * D39</f>
        <v>1</v>
      </c>
      <c r="K39" s="3" t="str">
        <f t="shared" si="0"/>
        <v>SVAR_RECT__s8</v>
      </c>
    </row>
    <row r="40" spans="1:11" x14ac:dyDescent="0.3">
      <c r="A40" t="s">
        <v>25</v>
      </c>
      <c r="C40">
        <v>1</v>
      </c>
      <c r="D40">
        <v>1</v>
      </c>
      <c r="I40" s="3" t="str">
        <f>VLOOKUP(A40,misc!$C$2:$E$15,3,FALSE)</f>
        <v>b</v>
      </c>
      <c r="J40" s="3">
        <f>(VLOOKUP(A40, misc!$C$2:$D$28, 2, FALSE)) * C40 * D40</f>
        <v>1</v>
      </c>
      <c r="K40" s="3" t="str">
        <f t="shared" si="0"/>
        <v>SVAR_RECT__b</v>
      </c>
    </row>
    <row r="41" spans="1:11" x14ac:dyDescent="0.3">
      <c r="A41" t="s">
        <v>12</v>
      </c>
      <c r="C41">
        <v>1</v>
      </c>
      <c r="D41">
        <v>1</v>
      </c>
      <c r="I41" s="3" t="str">
        <f>VLOOKUP(A41,misc!$C$2:$E$15,3,FALSE)</f>
        <v>s32</v>
      </c>
      <c r="J41" s="3">
        <f>(VLOOKUP(A41, misc!$C$2:$D$28, 2, FALSE)) * C41 * D41</f>
        <v>4</v>
      </c>
      <c r="K41" s="3" t="str">
        <f t="shared" si="0"/>
        <v>SVAR_RECT__s32</v>
      </c>
    </row>
  </sheetData>
  <mergeCells count="1">
    <mergeCell ref="I5:K5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custom" allowBlank="1" showInputMessage="1" showErrorMessage="1" xr:uid="{27CA00CB-C6BD-4372-8D70-37848DC4A520}">
          <x14:formula1>
            <xm:f>(VLOOKUP(A7, misc!$C$2:$D$28, 2, FALSE)) * C7 * D7</xm:f>
          </x14:formula1>
          <xm:sqref>J7:J41</xm:sqref>
        </x14:dataValidation>
        <x14:dataValidation type="list" allowBlank="1" showInputMessage="1" showErrorMessage="1" xr:uid="{2B6C93E6-95F0-4769-B16E-161B037B5A7D}">
          <x14:formula1>
            <xm:f>misc!$C$2:$C$22</xm:f>
          </x14:formula1>
          <xm:sqref>A7:A41</xm:sqref>
        </x14:dataValidation>
        <x14:dataValidation type="list" allowBlank="1" showInputMessage="1" showErrorMessage="1" xr:uid="{076DA027-412A-4D61-A421-E17865E108C9}">
          <x14:formula1>
            <xm:f>misc!$A$2:$A$13</xm:f>
          </x14:formula1>
          <xm:sqref>B1</xm:sqref>
        </x14:dataValidation>
        <x14:dataValidation type="list" allowBlank="1" showInputMessage="1" showErrorMessage="1" xr:uid="{37A4A2C0-CA24-4C38-ABE0-D31C13428D6E}">
          <x14:formula1>
            <xm:f>misc!$B$2:$B$4</xm:f>
          </x14:formula1>
          <xm:sqref>B2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D9F7-97FB-42C0-AA07-06E053148763}">
  <dimension ref="A1:N15"/>
  <sheetViews>
    <sheetView workbookViewId="0">
      <selection activeCell="K10" sqref="K10"/>
    </sheetView>
  </sheetViews>
  <sheetFormatPr defaultRowHeight="14.4" x14ac:dyDescent="0.3"/>
  <cols>
    <col min="1" max="2" width="23.33203125" customWidth="1"/>
    <col min="3" max="3" width="13.109375" customWidth="1"/>
    <col min="4" max="4" width="11.21875" customWidth="1"/>
  </cols>
  <sheetData>
    <row r="1" spans="1:14" x14ac:dyDescent="0.3">
      <c r="A1" s="1" t="s">
        <v>1</v>
      </c>
      <c r="B1" s="1" t="s">
        <v>19</v>
      </c>
      <c r="C1" s="1" t="s">
        <v>5</v>
      </c>
      <c r="D1" s="1" t="s">
        <v>15</v>
      </c>
      <c r="E1" s="1" t="s">
        <v>35</v>
      </c>
      <c r="N1" t="s">
        <v>66</v>
      </c>
    </row>
    <row r="2" spans="1:14" x14ac:dyDescent="0.3">
      <c r="A2" t="s">
        <v>4</v>
      </c>
      <c r="B2" t="s">
        <v>20</v>
      </c>
      <c r="C2" t="s">
        <v>25</v>
      </c>
      <c r="D2">
        <v>1</v>
      </c>
      <c r="E2" t="s">
        <v>36</v>
      </c>
      <c r="N2" t="s">
        <v>67</v>
      </c>
    </row>
    <row r="3" spans="1:14" x14ac:dyDescent="0.3">
      <c r="A3" t="s">
        <v>2</v>
      </c>
      <c r="B3" t="s">
        <v>21</v>
      </c>
      <c r="C3" t="s">
        <v>6</v>
      </c>
      <c r="D3">
        <v>1</v>
      </c>
      <c r="E3" t="s">
        <v>37</v>
      </c>
    </row>
    <row r="4" spans="1:14" x14ac:dyDescent="0.3">
      <c r="A4" t="s">
        <v>3</v>
      </c>
      <c r="B4" t="s">
        <v>22</v>
      </c>
      <c r="C4" t="s">
        <v>7</v>
      </c>
      <c r="D4">
        <v>1</v>
      </c>
      <c r="E4" t="s">
        <v>40</v>
      </c>
    </row>
    <row r="5" spans="1:14" x14ac:dyDescent="0.3">
      <c r="C5" t="s">
        <v>8</v>
      </c>
      <c r="D5">
        <v>1</v>
      </c>
      <c r="E5" t="s">
        <v>41</v>
      </c>
    </row>
    <row r="6" spans="1:14" x14ac:dyDescent="0.3">
      <c r="C6" t="s">
        <v>9</v>
      </c>
      <c r="D6">
        <v>2</v>
      </c>
      <c r="E6" t="s">
        <v>42</v>
      </c>
    </row>
    <row r="7" spans="1:14" x14ac:dyDescent="0.3">
      <c r="C7" t="s">
        <v>10</v>
      </c>
      <c r="D7">
        <v>2</v>
      </c>
      <c r="E7" t="s">
        <v>43</v>
      </c>
    </row>
    <row r="8" spans="1:14" x14ac:dyDescent="0.3">
      <c r="C8" t="s">
        <v>11</v>
      </c>
      <c r="D8">
        <v>4</v>
      </c>
      <c r="E8" t="s">
        <v>44</v>
      </c>
    </row>
    <row r="9" spans="1:14" x14ac:dyDescent="0.3">
      <c r="C9" t="s">
        <v>12</v>
      </c>
      <c r="D9">
        <v>4</v>
      </c>
      <c r="E9" t="s">
        <v>45</v>
      </c>
    </row>
    <row r="10" spans="1:14" x14ac:dyDescent="0.3">
      <c r="C10" t="s">
        <v>13</v>
      </c>
      <c r="D10">
        <v>8</v>
      </c>
      <c r="E10" t="s">
        <v>46</v>
      </c>
    </row>
    <row r="11" spans="1:14" x14ac:dyDescent="0.3">
      <c r="C11" t="s">
        <v>14</v>
      </c>
      <c r="D11">
        <v>8</v>
      </c>
      <c r="E11" t="s">
        <v>47</v>
      </c>
    </row>
    <row r="12" spans="1:14" x14ac:dyDescent="0.3">
      <c r="C12" t="s">
        <v>16</v>
      </c>
      <c r="D12">
        <v>4</v>
      </c>
      <c r="E12" t="s">
        <v>38</v>
      </c>
    </row>
    <row r="13" spans="1:14" x14ac:dyDescent="0.3">
      <c r="C13" t="s">
        <v>17</v>
      </c>
      <c r="D13">
        <v>8</v>
      </c>
      <c r="E13" t="s">
        <v>39</v>
      </c>
    </row>
    <row r="14" spans="1:14" x14ac:dyDescent="0.3">
      <c r="C14" t="s">
        <v>24</v>
      </c>
      <c r="D14">
        <v>16</v>
      </c>
      <c r="E14" t="s">
        <v>48</v>
      </c>
    </row>
    <row r="15" spans="1:14" x14ac:dyDescent="0.3">
      <c r="C15" t="s">
        <v>26</v>
      </c>
      <c r="D15">
        <v>4</v>
      </c>
      <c r="E15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Context</vt:lpstr>
      <vt:lpstr>varSheet1</vt:lpstr>
      <vt:lpstr>varSheet2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Verma</dc:creator>
  <cp:lastModifiedBy>Manish Verma</cp:lastModifiedBy>
  <dcterms:created xsi:type="dcterms:W3CDTF">2015-06-05T18:17:20Z</dcterms:created>
  <dcterms:modified xsi:type="dcterms:W3CDTF">2025-05-08T06:46:45Z</dcterms:modified>
</cp:coreProperties>
</file>