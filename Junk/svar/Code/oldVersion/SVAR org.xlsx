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D:\RnD\Modules\Code\"/>
    </mc:Choice>
  </mc:AlternateContent>
  <xr:revisionPtr revIDLastSave="0" documentId="13_ncr:1_{28318E20-48C3-42DC-8D13-5C856E7BC41F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CSV" sheetId="6" r:id="rId1"/>
    <sheet name="Context" sheetId="3" r:id="rId2"/>
    <sheet name="varSheet1" sheetId="1" r:id="rId3"/>
    <sheet name="varSheet2" sheetId="8" r:id="rId4"/>
    <sheet name="misc" sheetId="2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" i="6" l="1"/>
  <c r="K41" i="8"/>
  <c r="J41" i="8"/>
  <c r="H41" i="8"/>
  <c r="I41" i="8" s="1"/>
  <c r="G41" i="8"/>
  <c r="D41" i="8"/>
  <c r="J40" i="8"/>
  <c r="H40" i="8"/>
  <c r="I40" i="8" s="1"/>
  <c r="G40" i="8"/>
  <c r="D40" i="8"/>
  <c r="K40" i="8" s="1"/>
  <c r="J39" i="8"/>
  <c r="H39" i="8"/>
  <c r="I39" i="8" s="1"/>
  <c r="G39" i="8"/>
  <c r="D39" i="8"/>
  <c r="K39" i="8" s="1"/>
  <c r="J38" i="8"/>
  <c r="I38" i="8"/>
  <c r="H38" i="8"/>
  <c r="G38" i="8"/>
  <c r="D38" i="8"/>
  <c r="K38" i="8" s="1"/>
  <c r="K37" i="8"/>
  <c r="J37" i="8"/>
  <c r="H37" i="8"/>
  <c r="I37" i="8" s="1"/>
  <c r="G37" i="8"/>
  <c r="D37" i="8"/>
  <c r="J36" i="8"/>
  <c r="H36" i="8"/>
  <c r="I36" i="8" s="1"/>
  <c r="G36" i="8"/>
  <c r="D36" i="8"/>
  <c r="K36" i="8" s="1"/>
  <c r="J35" i="8"/>
  <c r="H35" i="8"/>
  <c r="I35" i="8" s="1"/>
  <c r="G35" i="8"/>
  <c r="D35" i="8"/>
  <c r="K35" i="8" s="1"/>
  <c r="J34" i="8"/>
  <c r="I34" i="8"/>
  <c r="H34" i="8"/>
  <c r="G34" i="8"/>
  <c r="D34" i="8"/>
  <c r="K34" i="8" s="1"/>
  <c r="K33" i="8"/>
  <c r="J33" i="8"/>
  <c r="H33" i="8"/>
  <c r="I33" i="8" s="1"/>
  <c r="G33" i="8"/>
  <c r="D33" i="8"/>
  <c r="J32" i="8"/>
  <c r="H32" i="8"/>
  <c r="I32" i="8" s="1"/>
  <c r="G32" i="8"/>
  <c r="D32" i="8"/>
  <c r="K32" i="8" s="1"/>
  <c r="J31" i="8"/>
  <c r="H31" i="8"/>
  <c r="I31" i="8" s="1"/>
  <c r="G31" i="8"/>
  <c r="D31" i="8"/>
  <c r="K31" i="8" s="1"/>
  <c r="J30" i="8"/>
  <c r="I30" i="8"/>
  <c r="H30" i="8"/>
  <c r="G30" i="8"/>
  <c r="D30" i="8"/>
  <c r="K30" i="8" s="1"/>
  <c r="K29" i="8"/>
  <c r="J29" i="8"/>
  <c r="H29" i="8"/>
  <c r="I29" i="8" s="1"/>
  <c r="G29" i="8"/>
  <c r="D29" i="8"/>
  <c r="J28" i="8"/>
  <c r="H28" i="8"/>
  <c r="I28" i="8" s="1"/>
  <c r="G28" i="8"/>
  <c r="D28" i="8"/>
  <c r="K28" i="8" s="1"/>
  <c r="J27" i="8"/>
  <c r="H27" i="8"/>
  <c r="I27" i="8" s="1"/>
  <c r="G27" i="8"/>
  <c r="D27" i="8"/>
  <c r="K27" i="8" s="1"/>
  <c r="J26" i="8"/>
  <c r="I26" i="8"/>
  <c r="H26" i="8"/>
  <c r="G26" i="8"/>
  <c r="D26" i="8"/>
  <c r="K26" i="8" s="1"/>
  <c r="K25" i="8"/>
  <c r="J25" i="8"/>
  <c r="H25" i="8"/>
  <c r="I25" i="8" s="1"/>
  <c r="G25" i="8"/>
  <c r="D25" i="8"/>
  <c r="J24" i="8"/>
  <c r="H24" i="8"/>
  <c r="I24" i="8" s="1"/>
  <c r="G24" i="8"/>
  <c r="D24" i="8"/>
  <c r="K24" i="8" s="1"/>
  <c r="J23" i="8"/>
  <c r="H23" i="8"/>
  <c r="I23" i="8" s="1"/>
  <c r="G23" i="8"/>
  <c r="D23" i="8"/>
  <c r="K23" i="8" s="1"/>
  <c r="J22" i="8"/>
  <c r="I22" i="8"/>
  <c r="H22" i="8"/>
  <c r="G22" i="8"/>
  <c r="D22" i="8"/>
  <c r="K22" i="8" s="1"/>
  <c r="K21" i="8"/>
  <c r="J21" i="8"/>
  <c r="H21" i="8"/>
  <c r="I21" i="8" s="1"/>
  <c r="G21" i="8"/>
  <c r="D21" i="8"/>
  <c r="J20" i="8"/>
  <c r="H20" i="8"/>
  <c r="I20" i="8" s="1"/>
  <c r="G20" i="8"/>
  <c r="D20" i="8"/>
  <c r="K20" i="8" s="1"/>
  <c r="J19" i="8"/>
  <c r="H19" i="8"/>
  <c r="I19" i="8" s="1"/>
  <c r="G19" i="8"/>
  <c r="D19" i="8"/>
  <c r="K19" i="8" s="1"/>
  <c r="J18" i="8"/>
  <c r="I18" i="8"/>
  <c r="H18" i="8"/>
  <c r="G18" i="8"/>
  <c r="D18" i="8"/>
  <c r="K18" i="8" s="1"/>
  <c r="K17" i="8"/>
  <c r="J17" i="8"/>
  <c r="H17" i="8"/>
  <c r="I17" i="8" s="1"/>
  <c r="G17" i="8"/>
  <c r="D17" i="8"/>
  <c r="J16" i="8"/>
  <c r="H16" i="8"/>
  <c r="I16" i="8" s="1"/>
  <c r="G16" i="8"/>
  <c r="D16" i="8"/>
  <c r="K16" i="8" s="1"/>
  <c r="J15" i="8"/>
  <c r="H15" i="8"/>
  <c r="I15" i="8" s="1"/>
  <c r="G15" i="8"/>
  <c r="D15" i="8"/>
  <c r="K15" i="8" s="1"/>
  <c r="J14" i="8"/>
  <c r="I14" i="8"/>
  <c r="H14" i="8"/>
  <c r="G14" i="8"/>
  <c r="D14" i="8"/>
  <c r="K14" i="8" s="1"/>
  <c r="K13" i="8"/>
  <c r="J13" i="8"/>
  <c r="H13" i="8"/>
  <c r="I13" i="8" s="1"/>
  <c r="G13" i="8"/>
  <c r="D13" i="8"/>
  <c r="J12" i="8"/>
  <c r="H12" i="8"/>
  <c r="I12" i="8" s="1"/>
  <c r="G12" i="8"/>
  <c r="D12" i="8"/>
  <c r="K12" i="8" s="1"/>
  <c r="J11" i="8"/>
  <c r="H11" i="8"/>
  <c r="I11" i="8" s="1"/>
  <c r="G11" i="8"/>
  <c r="D11" i="8"/>
  <c r="K11" i="8" s="1"/>
  <c r="J10" i="8"/>
  <c r="I10" i="8"/>
  <c r="H10" i="8"/>
  <c r="G10" i="8"/>
  <c r="D10" i="8"/>
  <c r="K10" i="8" s="1"/>
  <c r="K9" i="8"/>
  <c r="J9" i="8"/>
  <c r="H9" i="8"/>
  <c r="I9" i="8" s="1"/>
  <c r="G9" i="8"/>
  <c r="D9" i="8"/>
  <c r="J8" i="8"/>
  <c r="H8" i="8"/>
  <c r="I8" i="8" s="1"/>
  <c r="G8" i="8"/>
  <c r="D8" i="8"/>
  <c r="K8" i="8" s="1"/>
  <c r="J7" i="8"/>
  <c r="H7" i="8"/>
  <c r="I7" i="8" s="1"/>
  <c r="G7" i="8"/>
  <c r="D7" i="8"/>
  <c r="K7" i="8" s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7" i="1"/>
  <c r="I37" i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I22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0" i="1"/>
  <c r="I30" i="1" s="1"/>
  <c r="H31" i="1"/>
  <c r="I31" i="1" s="1"/>
  <c r="H32" i="1"/>
  <c r="I32" i="1" s="1"/>
  <c r="H33" i="1"/>
  <c r="I33" i="1" s="1"/>
  <c r="H34" i="1"/>
  <c r="I34" i="1" s="1"/>
  <c r="H35" i="1"/>
  <c r="I35" i="1" s="1"/>
  <c r="H36" i="1"/>
  <c r="I36" i="1" s="1"/>
  <c r="H37" i="1"/>
  <c r="H38" i="1"/>
  <c r="I38" i="1" s="1"/>
  <c r="H39" i="1"/>
  <c r="I39" i="1" s="1"/>
  <c r="H40" i="1"/>
  <c r="I40" i="1" s="1"/>
  <c r="H41" i="1"/>
  <c r="I41" i="1" s="1"/>
  <c r="H7" i="1"/>
  <c r="I7" i="1" s="1"/>
  <c r="B47" i="6"/>
  <c r="D13" i="6"/>
  <c r="D21" i="6"/>
  <c r="D29" i="6"/>
  <c r="D37" i="6"/>
  <c r="D45" i="6"/>
  <c r="D53" i="6"/>
  <c r="D61" i="6"/>
  <c r="D69" i="6"/>
  <c r="D77" i="6"/>
  <c r="D41" i="6"/>
  <c r="D73" i="6"/>
  <c r="D34" i="6"/>
  <c r="D66" i="6"/>
  <c r="D14" i="6"/>
  <c r="D22" i="6"/>
  <c r="D30" i="6"/>
  <c r="D38" i="6"/>
  <c r="D46" i="6"/>
  <c r="D54" i="6"/>
  <c r="D62" i="6"/>
  <c r="D70" i="6"/>
  <c r="D78" i="6"/>
  <c r="D65" i="6"/>
  <c r="D50" i="6"/>
  <c r="D74" i="6"/>
  <c r="D15" i="6"/>
  <c r="D23" i="6"/>
  <c r="D31" i="6"/>
  <c r="D39" i="6"/>
  <c r="D47" i="6"/>
  <c r="D55" i="6"/>
  <c r="D63" i="6"/>
  <c r="D71" i="6"/>
  <c r="D79" i="6"/>
  <c r="D57" i="6"/>
  <c r="D42" i="6"/>
  <c r="D82" i="6"/>
  <c r="D16" i="6"/>
  <c r="D24" i="6"/>
  <c r="D32" i="6"/>
  <c r="D40" i="6"/>
  <c r="D48" i="6"/>
  <c r="D56" i="6"/>
  <c r="D64" i="6"/>
  <c r="D72" i="6"/>
  <c r="D80" i="6"/>
  <c r="D25" i="6"/>
  <c r="D33" i="6"/>
  <c r="D49" i="6"/>
  <c r="D81" i="6"/>
  <c r="D26" i="6"/>
  <c r="D58" i="6"/>
  <c r="D17" i="6"/>
  <c r="D18" i="6"/>
  <c r="D19" i="6"/>
  <c r="D27" i="6"/>
  <c r="D35" i="6"/>
  <c r="D43" i="6"/>
  <c r="D51" i="6"/>
  <c r="D59" i="6"/>
  <c r="D67" i="6"/>
  <c r="D75" i="6"/>
  <c r="D83" i="6"/>
  <c r="D20" i="6"/>
  <c r="D28" i="6"/>
  <c r="D36" i="6"/>
  <c r="D44" i="6"/>
  <c r="D52" i="6"/>
  <c r="D60" i="6"/>
  <c r="D68" i="6"/>
  <c r="D76" i="6"/>
  <c r="D12" i="6"/>
  <c r="C13" i="6"/>
  <c r="C37" i="6"/>
  <c r="C61" i="6"/>
  <c r="C77" i="6"/>
  <c r="C78" i="6"/>
  <c r="C26" i="6"/>
  <c r="C27" i="6"/>
  <c r="C67" i="6"/>
  <c r="C14" i="6"/>
  <c r="C22" i="6"/>
  <c r="C30" i="6"/>
  <c r="C38" i="6"/>
  <c r="C46" i="6"/>
  <c r="C62" i="6"/>
  <c r="C18" i="6"/>
  <c r="C82" i="6"/>
  <c r="C59" i="6"/>
  <c r="C15" i="6"/>
  <c r="C23" i="6"/>
  <c r="C31" i="6"/>
  <c r="C39" i="6"/>
  <c r="C55" i="6"/>
  <c r="C63" i="6"/>
  <c r="C71" i="6"/>
  <c r="C79" i="6"/>
  <c r="C56" i="6"/>
  <c r="C72" i="6"/>
  <c r="C17" i="6"/>
  <c r="C33" i="6"/>
  <c r="C41" i="6"/>
  <c r="C57" i="6"/>
  <c r="C73" i="6"/>
  <c r="C42" i="6"/>
  <c r="C66" i="6"/>
  <c r="C43" i="6"/>
  <c r="C16" i="6"/>
  <c r="C24" i="6"/>
  <c r="C32" i="6"/>
  <c r="C40" i="6"/>
  <c r="C48" i="6"/>
  <c r="C64" i="6"/>
  <c r="C80" i="6"/>
  <c r="C25" i="6"/>
  <c r="C49" i="6"/>
  <c r="C65" i="6"/>
  <c r="C81" i="6"/>
  <c r="C50" i="6"/>
  <c r="C74" i="6"/>
  <c r="C51" i="6"/>
  <c r="C75" i="6"/>
  <c r="C19" i="6"/>
  <c r="C20" i="6"/>
  <c r="C28" i="6"/>
  <c r="C36" i="6"/>
  <c r="C44" i="6"/>
  <c r="C52" i="6"/>
  <c r="C60" i="6"/>
  <c r="C68" i="6"/>
  <c r="C76" i="6"/>
  <c r="C21" i="6"/>
  <c r="C29" i="6"/>
  <c r="C45" i="6"/>
  <c r="C53" i="6"/>
  <c r="C69" i="6"/>
  <c r="C54" i="6"/>
  <c r="C70" i="6"/>
  <c r="C34" i="6"/>
  <c r="C58" i="6"/>
  <c r="C35" i="6"/>
  <c r="C12" i="6"/>
  <c r="B13" i="6"/>
  <c r="B21" i="6"/>
  <c r="B29" i="6"/>
  <c r="B37" i="6"/>
  <c r="B45" i="6"/>
  <c r="B53" i="6"/>
  <c r="B61" i="6"/>
  <c r="B69" i="6"/>
  <c r="B77" i="6"/>
  <c r="B79" i="6"/>
  <c r="B56" i="6"/>
  <c r="B80" i="6"/>
  <c r="B65" i="6"/>
  <c r="B81" i="6"/>
  <c r="B42" i="6"/>
  <c r="B74" i="6"/>
  <c r="B14" i="6"/>
  <c r="B22" i="6"/>
  <c r="B30" i="6"/>
  <c r="B38" i="6"/>
  <c r="B46" i="6"/>
  <c r="B54" i="6"/>
  <c r="B62" i="6"/>
  <c r="B70" i="6"/>
  <c r="B78" i="6"/>
  <c r="B71" i="6"/>
  <c r="B32" i="6"/>
  <c r="B64" i="6"/>
  <c r="B49" i="6"/>
  <c r="B26" i="6"/>
  <c r="B66" i="6"/>
  <c r="B15" i="6"/>
  <c r="B23" i="6"/>
  <c r="B31" i="6"/>
  <c r="B39" i="6"/>
  <c r="B55" i="6"/>
  <c r="B63" i="6"/>
  <c r="B48" i="6"/>
  <c r="B72" i="6"/>
  <c r="B57" i="6"/>
  <c r="B18" i="6"/>
  <c r="B82" i="6"/>
  <c r="B16" i="6"/>
  <c r="B24" i="6"/>
  <c r="B40" i="6"/>
  <c r="B34" i="6"/>
  <c r="B17" i="6"/>
  <c r="B25" i="6"/>
  <c r="B33" i="6"/>
  <c r="B41" i="6"/>
  <c r="B73" i="6"/>
  <c r="B50" i="6"/>
  <c r="B19" i="6"/>
  <c r="B27" i="6"/>
  <c r="B35" i="6"/>
  <c r="B43" i="6"/>
  <c r="B51" i="6"/>
  <c r="B59" i="6"/>
  <c r="B67" i="6"/>
  <c r="B75" i="6"/>
  <c r="B83" i="6"/>
  <c r="B20" i="6"/>
  <c r="B28" i="6"/>
  <c r="B36" i="6"/>
  <c r="B44" i="6"/>
  <c r="B52" i="6"/>
  <c r="B60" i="6"/>
  <c r="B68" i="6"/>
  <c r="B76" i="6"/>
  <c r="B58" i="6"/>
  <c r="B12" i="6"/>
  <c r="A13" i="6"/>
  <c r="A62" i="6"/>
  <c r="A14" i="6"/>
  <c r="A22" i="6"/>
  <c r="A70" i="6"/>
  <c r="A15" i="6"/>
  <c r="A23" i="6"/>
  <c r="A31" i="6"/>
  <c r="A39" i="6"/>
  <c r="A55" i="6"/>
  <c r="A63" i="6"/>
  <c r="A71" i="6"/>
  <c r="A79" i="6"/>
  <c r="A25" i="6"/>
  <c r="A41" i="6"/>
  <c r="A57" i="6"/>
  <c r="A73" i="6"/>
  <c r="A26" i="6"/>
  <c r="A42" i="6"/>
  <c r="A58" i="6"/>
  <c r="A74" i="6"/>
  <c r="A45" i="6"/>
  <c r="A69" i="6"/>
  <c r="A38" i="6"/>
  <c r="A78" i="6"/>
  <c r="A16" i="6"/>
  <c r="A24" i="6"/>
  <c r="A32" i="6"/>
  <c r="A40" i="6"/>
  <c r="A48" i="6"/>
  <c r="A56" i="6"/>
  <c r="A64" i="6"/>
  <c r="A72" i="6"/>
  <c r="A80" i="6"/>
  <c r="A17" i="6"/>
  <c r="A33" i="6"/>
  <c r="A49" i="6"/>
  <c r="A65" i="6"/>
  <c r="A81" i="6"/>
  <c r="A34" i="6"/>
  <c r="A50" i="6"/>
  <c r="A66" i="6"/>
  <c r="A82" i="6"/>
  <c r="A53" i="6"/>
  <c r="A77" i="6"/>
  <c r="A46" i="6"/>
  <c r="A54" i="6"/>
  <c r="A18" i="6"/>
  <c r="A19" i="6"/>
  <c r="A27" i="6"/>
  <c r="A35" i="6"/>
  <c r="A43" i="6"/>
  <c r="A51" i="6"/>
  <c r="A59" i="6"/>
  <c r="A67" i="6"/>
  <c r="A75" i="6"/>
  <c r="A83" i="6"/>
  <c r="A20" i="6"/>
  <c r="A28" i="6"/>
  <c r="A36" i="6"/>
  <c r="A44" i="6"/>
  <c r="A52" i="6"/>
  <c r="A60" i="6"/>
  <c r="A68" i="6"/>
  <c r="A76" i="6"/>
  <c r="A21" i="6"/>
  <c r="A29" i="6"/>
  <c r="A37" i="6"/>
  <c r="A61" i="6"/>
  <c r="A30" i="6"/>
  <c r="A12" i="6"/>
  <c r="B11" i="6"/>
  <c r="B10" i="6" l="1"/>
  <c r="G8" i="1" l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7" i="1"/>
  <c r="D8" i="1"/>
  <c r="K8" i="1" s="1"/>
  <c r="D9" i="1"/>
  <c r="K9" i="1" s="1"/>
  <c r="D10" i="1"/>
  <c r="K10" i="1" s="1"/>
  <c r="D11" i="1"/>
  <c r="K11" i="1" s="1"/>
  <c r="D12" i="1"/>
  <c r="K12" i="1" s="1"/>
  <c r="D13" i="1"/>
  <c r="K13" i="1" s="1"/>
  <c r="D14" i="1"/>
  <c r="K14" i="1" s="1"/>
  <c r="D15" i="1"/>
  <c r="K15" i="1" s="1"/>
  <c r="D16" i="1"/>
  <c r="K16" i="1" s="1"/>
  <c r="D17" i="1"/>
  <c r="K17" i="1" s="1"/>
  <c r="D18" i="1"/>
  <c r="K18" i="1" s="1"/>
  <c r="D19" i="1"/>
  <c r="K19" i="1" s="1"/>
  <c r="D20" i="1"/>
  <c r="K20" i="1" s="1"/>
  <c r="D21" i="1"/>
  <c r="K21" i="1" s="1"/>
  <c r="D22" i="1"/>
  <c r="K22" i="1" s="1"/>
  <c r="D23" i="1"/>
  <c r="K23" i="1" s="1"/>
  <c r="D24" i="1"/>
  <c r="K24" i="1" s="1"/>
  <c r="D25" i="1"/>
  <c r="K25" i="1" s="1"/>
  <c r="D26" i="1"/>
  <c r="K26" i="1" s="1"/>
  <c r="D27" i="1"/>
  <c r="K27" i="1" s="1"/>
  <c r="D28" i="1"/>
  <c r="K28" i="1" s="1"/>
  <c r="D29" i="1"/>
  <c r="K29" i="1" s="1"/>
  <c r="D30" i="1"/>
  <c r="K30" i="1" s="1"/>
  <c r="D31" i="1"/>
  <c r="K31" i="1" s="1"/>
  <c r="D32" i="1"/>
  <c r="K32" i="1" s="1"/>
  <c r="D33" i="1"/>
  <c r="K33" i="1" s="1"/>
  <c r="D34" i="1"/>
  <c r="K34" i="1" s="1"/>
  <c r="D35" i="1"/>
  <c r="K35" i="1" s="1"/>
  <c r="D36" i="1"/>
  <c r="K36" i="1" s="1"/>
  <c r="D37" i="1"/>
  <c r="K37" i="1" s="1"/>
  <c r="D38" i="1"/>
  <c r="K38" i="1" s="1"/>
  <c r="D39" i="1"/>
  <c r="K39" i="1" s="1"/>
  <c r="D40" i="1"/>
  <c r="K40" i="1" s="1"/>
  <c r="D41" i="1"/>
  <c r="K41" i="1" s="1"/>
  <c r="D7" i="1"/>
  <c r="K7" i="1" s="1"/>
  <c r="B8" i="6"/>
  <c r="B9" i="6"/>
  <c r="B7" i="6"/>
  <c r="B6" i="6"/>
  <c r="B5" i="6"/>
  <c r="A3" i="6"/>
  <c r="B3" i="6"/>
  <c r="B2" i="6"/>
  <c r="A2" i="6"/>
</calcChain>
</file>

<file path=xl/sharedStrings.xml><?xml version="1.0" encoding="utf-8"?>
<sst xmlns="http://schemas.openxmlformats.org/spreadsheetml/2006/main" count="255" uniqueCount="121">
  <si>
    <t>Segment</t>
  </si>
  <si>
    <t>Segment Types</t>
  </si>
  <si>
    <t>VarTypes</t>
  </si>
  <si>
    <t>char</t>
  </si>
  <si>
    <t>uint8_t</t>
  </si>
  <si>
    <t>int8_t</t>
  </si>
  <si>
    <t>uint16_t</t>
  </si>
  <si>
    <t>int16_t</t>
  </si>
  <si>
    <t>uint32_t</t>
  </si>
  <si>
    <t>int32_t</t>
  </si>
  <si>
    <t>uint64_t</t>
  </si>
  <si>
    <t>int64_t</t>
  </si>
  <si>
    <t>varSizes</t>
  </si>
  <si>
    <t>float</t>
  </si>
  <si>
    <t>double</t>
  </si>
  <si>
    <t>Flavor</t>
  </si>
  <si>
    <t>SegmentFlavor</t>
  </si>
  <si>
    <t>RAM_ONLY</t>
  </si>
  <si>
    <t>EEPROM_ONLY</t>
  </si>
  <si>
    <t>SHADOWED_EEPROM</t>
  </si>
  <si>
    <t>SegmentPrefix</t>
  </si>
  <si>
    <t>long double</t>
  </si>
  <si>
    <t>bool</t>
  </si>
  <si>
    <t>svAdd</t>
  </si>
  <si>
    <t>RefreshTime (sec)</t>
  </si>
  <si>
    <t>Applicable for EEPROM only</t>
  </si>
  <si>
    <t>Applicable for EEPROM only, 0-On Demand, other value - sec</t>
  </si>
  <si>
    <t>varType</t>
  </si>
  <si>
    <t>varName</t>
  </si>
  <si>
    <t>varDesc</t>
  </si>
  <si>
    <t>varSuffixes</t>
  </si>
  <si>
    <t>b</t>
  </si>
  <si>
    <t>c</t>
  </si>
  <si>
    <t>f</t>
  </si>
  <si>
    <t>d</t>
  </si>
  <si>
    <t>u8</t>
  </si>
  <si>
    <t>s8</t>
  </si>
  <si>
    <t>u16</t>
  </si>
  <si>
    <t>s16</t>
  </si>
  <si>
    <t>u32</t>
  </si>
  <si>
    <t>s32</t>
  </si>
  <si>
    <t>u64</t>
  </si>
  <si>
    <t>s64</t>
  </si>
  <si>
    <t>ld</t>
  </si>
  <si>
    <t>add</t>
  </si>
  <si>
    <t>Segment Count</t>
  </si>
  <si>
    <t>Size</t>
  </si>
  <si>
    <t>Name</t>
  </si>
  <si>
    <t>Results</t>
  </si>
  <si>
    <t>BMS</t>
  </si>
  <si>
    <t>Battery_Count</t>
  </si>
  <si>
    <t>Offset Address</t>
  </si>
  <si>
    <t>OverVolt_Threshold</t>
  </si>
  <si>
    <t>UnderVolt_Threshold</t>
  </si>
  <si>
    <t>YES</t>
  </si>
  <si>
    <t>NO</t>
  </si>
  <si>
    <t>Packed Storage</t>
  </si>
  <si>
    <t>Product Name</t>
  </si>
  <si>
    <t>WCBMS</t>
  </si>
  <si>
    <t>Critical Context Data</t>
  </si>
  <si>
    <t>Non Critical Setup Information</t>
  </si>
  <si>
    <t>24C16</t>
  </si>
  <si>
    <t>Enable Segment Type Prefix</t>
  </si>
  <si>
    <t>Page Size</t>
  </si>
  <si>
    <t>Enable Segment Name Prefix</t>
  </si>
  <si>
    <t>&lt;SECTION&gt;</t>
  </si>
  <si>
    <t>SETUP_INFO</t>
  </si>
  <si>
    <t>EEPROM</t>
  </si>
  <si>
    <t>SETUP_CONFIG</t>
  </si>
  <si>
    <t>SVAR_SEG_TYPE_PREFIX_EN</t>
  </si>
  <si>
    <t>SVAR_PACKED_STORAGE_EN</t>
  </si>
  <si>
    <t>SVAR_NVM_PAGE_SIZE</t>
  </si>
  <si>
    <t>SVAR_SEGMENT_COUNT</t>
  </si>
  <si>
    <t>SVAR_SEG_NAME_PREFIX_EN</t>
  </si>
  <si>
    <t>Module_Count_1</t>
  </si>
  <si>
    <t>Module_Count_2</t>
  </si>
  <si>
    <t>Module_Count_3</t>
  </si>
  <si>
    <t>Module_Count_4</t>
  </si>
  <si>
    <t>Module_Count_5</t>
  </si>
  <si>
    <t>Module_Count_6</t>
  </si>
  <si>
    <t>Module_Count_7</t>
  </si>
  <si>
    <t>Module_Count_8</t>
  </si>
  <si>
    <t>Module_Count_9</t>
  </si>
  <si>
    <t>Module_Count_10</t>
  </si>
  <si>
    <t>Module_Count_11</t>
  </si>
  <si>
    <t>Module_Count_12</t>
  </si>
  <si>
    <t>Module_Count_13</t>
  </si>
  <si>
    <t>Module_Count_14</t>
  </si>
  <si>
    <t>Module_Count_15</t>
  </si>
  <si>
    <t>Module_Count_16</t>
  </si>
  <si>
    <t>Module_Count_17</t>
  </si>
  <si>
    <t>Module_Count_18</t>
  </si>
  <si>
    <t>Module_Count_19</t>
  </si>
  <si>
    <t>Module_Count_20</t>
  </si>
  <si>
    <t>Module_Count_21</t>
  </si>
  <si>
    <t>Module_Count_22</t>
  </si>
  <si>
    <t>Module_Count_23</t>
  </si>
  <si>
    <t>Module_Count_24</t>
  </si>
  <si>
    <t>Module_Count_25</t>
  </si>
  <si>
    <t>Module_Count_26</t>
  </si>
  <si>
    <t>Module_Count_27</t>
  </si>
  <si>
    <t>Module_Count_28</t>
  </si>
  <si>
    <t>Module_Count_29</t>
  </si>
  <si>
    <t>Module_Count_30</t>
  </si>
  <si>
    <t>Module_Count_31</t>
  </si>
  <si>
    <t>Module_Count_32</t>
  </si>
  <si>
    <t>CONFIGURATION</t>
  </si>
  <si>
    <t>PERFORMANCE</t>
  </si>
  <si>
    <t>CALIBRATION</t>
  </si>
  <si>
    <t>varSheet1</t>
  </si>
  <si>
    <t>Comment</t>
  </si>
  <si>
    <t>Addresses Numeric Base</t>
  </si>
  <si>
    <t>Radices</t>
  </si>
  <si>
    <t>HEX</t>
  </si>
  <si>
    <t>DEC</t>
  </si>
  <si>
    <t>SVAR_ADD_BASE_HEX</t>
  </si>
  <si>
    <t>varSheet2</t>
  </si>
  <si>
    <t>varDepth</t>
  </si>
  <si>
    <t>EEPROM Max Address</t>
  </si>
  <si>
    <t>Typesize</t>
  </si>
  <si>
    <t>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</si>
</sst>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0" xfId="0" applyAlignment="1">
      <alignment horizontal="left"/>
    </xf>
    <xf numFmtId="0" fontId="1" fillId="0" borderId="3" xfId="0" applyFont="1" applyBorder="1"/>
    <xf numFmtId="0" fontId="0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0" xfId="0" applyBorder="1"/>
    <xf numFmtId="0" fontId="1" fillId="0" borderId="0" xfId="0" applyFont="1" applyBorder="1"/>
    <xf numFmtId="0" fontId="0" fillId="4" borderId="1" xfId="0" applyFill="1" applyBorder="1"/>
    <xf numFmtId="0" fontId="1" fillId="0" borderId="1" xfId="0" applyFont="1" applyFill="1" applyBorder="1"/>
    <xf numFmtId="0" fontId="1" fillId="0" borderId="0" xfId="0" applyFont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7AECB-D9AC-46D3-8B65-D538216E1C4F}">
  <dimension ref="A1:E83"/>
  <sheetViews>
    <sheetView tabSelected="1" topLeftCell="A10" workbookViewId="0">
      <selection activeCell="E27" sqref="E27"/>
    </sheetView>
  </sheetViews>
  <sheetFormatPr defaultRowHeight="14.4" x14ac:dyDescent="0.3"/>
  <cols>
    <col min="1" max="1" width="32.44140625" customWidth="1"/>
    <col min="2" max="2" width="16.77734375" style="9" customWidth="1"/>
    <col min="3" max="3" width="9.88671875" customWidth="1"/>
    <col min="4" max="4" width="28" style="9" customWidth="1"/>
    <col min="5" max="5" width="3.5546875" style="9" customWidth="1"/>
  </cols>
  <sheetData>
    <row r="1" spans="1:4" x14ac:dyDescent="0.3">
      <c r="A1" t="s">
        <v>65</v>
      </c>
      <c r="B1" s="9" t="s">
        <v>66</v>
      </c>
    </row>
    <row r="2" spans="1:4" x14ac:dyDescent="0.3">
      <c r="A2" t="str">
        <f>Context!A2</f>
        <v>Product Name</v>
      </c>
      <c r="B2" s="9" t="str">
        <f>Context!B2</f>
        <v>WCBMS</v>
      </c>
    </row>
    <row r="3" spans="1:4" x14ac:dyDescent="0.3">
      <c r="A3" t="str">
        <f>Context!A3</f>
        <v>EEPROM</v>
      </c>
      <c r="B3" s="9" t="str">
        <f>Context!B3</f>
        <v>24C16</v>
      </c>
    </row>
    <row r="4" spans="1:4" x14ac:dyDescent="0.3">
      <c r="A4" t="s">
        <v>65</v>
      </c>
      <c r="B4" s="9" t="s">
        <v>68</v>
      </c>
    </row>
    <row r="5" spans="1:4" x14ac:dyDescent="0.3">
      <c r="A5" t="s">
        <v>72</v>
      </c>
      <c r="B5" s="9">
        <f>Context!B5</f>
        <v>1</v>
      </c>
    </row>
    <row r="6" spans="1:4" x14ac:dyDescent="0.3">
      <c r="A6" t="s">
        <v>71</v>
      </c>
      <c r="B6" s="9">
        <f>Context!B6</f>
        <v>128</v>
      </c>
    </row>
    <row r="7" spans="1:4" x14ac:dyDescent="0.3">
      <c r="A7" t="s">
        <v>70</v>
      </c>
      <c r="B7" s="9">
        <f>IF(Context!B7="YES",1,0)</f>
        <v>0</v>
      </c>
    </row>
    <row r="8" spans="1:4" x14ac:dyDescent="0.3">
      <c r="A8" t="s">
        <v>69</v>
      </c>
      <c r="B8" s="9">
        <f>IF(Context!B8="YES",1,0)</f>
        <v>0</v>
      </c>
    </row>
    <row r="9" spans="1:4" x14ac:dyDescent="0.3">
      <c r="A9" t="s">
        <v>73</v>
      </c>
      <c r="B9" s="9">
        <f>IF(Context!B9="YES",1,0)</f>
        <v>1</v>
      </c>
    </row>
    <row r="10" spans="1:4" x14ac:dyDescent="0.3">
      <c r="A10" t="s">
        <v>115</v>
      </c>
      <c r="B10" s="9">
        <f>IF(Context!B10="HEX",1,0)</f>
        <v>1</v>
      </c>
    </row>
    <row r="11" spans="1:4" x14ac:dyDescent="0.3">
      <c r="A11" s="1" t="s">
        <v>65</v>
      </c>
      <c r="B11" s="15" t="str">
        <f ca="1">INDIRECT("'" &amp; $C$11 &amp; "'!B1")</f>
        <v>CONFIGURATION</v>
      </c>
      <c r="C11" s="1" t="s">
        <v>109</v>
      </c>
      <c r="D11" s="15">
        <f>ROW()</f>
        <v>11</v>
      </c>
    </row>
    <row r="12" spans="1:4" x14ac:dyDescent="0.3">
      <c r="A12" t="str">
        <f ca="1">INDIRECT("'" &amp; $C$11 &amp; "'!G" &amp; ROW()-5)</f>
        <v>SVAR_BMS_Battery_Count_u8</v>
      </c>
      <c r="B12" s="9">
        <f ca="1">INDIRECT("'" &amp; $C$11 &amp; "'!H" &amp; ROW()-5)</f>
        <v>1</v>
      </c>
      <c r="C12">
        <f ca="1">INDIRECT("'" &amp; $C$11 &amp; "'!J" &amp; ROW()-5)</f>
        <v>10</v>
      </c>
      <c r="D12" s="9" t="str">
        <f ca="1">INDIRECT("'" &amp; $C$11 &amp; "'!K" &amp; ROW()-5)</f>
        <v>Battery_Count  variable</v>
      </c>
    </row>
    <row r="13" spans="1:4" x14ac:dyDescent="0.3">
      <c r="A13" t="str">
        <f t="shared" ref="A13:A76" ca="1" si="0">INDIRECT("'" &amp; $C$11 &amp; "'!G" &amp; ROW()-5)</f>
        <v>SVAR_BMS_UnderVolt_Threshold_u8</v>
      </c>
      <c r="B13" s="9">
        <f t="shared" ref="B13:B76" ca="1" si="1">INDIRECT("'" &amp; $C$11 &amp; "'!H" &amp; ROW()-5)</f>
        <v>1</v>
      </c>
      <c r="C13">
        <f t="shared" ref="C13:C76" ca="1" si="2">INDIRECT("'" &amp; $C$11 &amp; "'!J" &amp; ROW()-5)</f>
        <v>1</v>
      </c>
      <c r="D13" s="9" t="str">
        <f t="shared" ref="D13:D76" ca="1" si="3">INDIRECT("'" &amp; $C$11 &amp; "'!K" &amp; ROW()-5)</f>
        <v>UnderVolt_Threshold  variable</v>
      </c>
    </row>
    <row r="14" spans="1:4" x14ac:dyDescent="0.3">
      <c r="A14" t="str">
        <f t="shared" ca="1" si="0"/>
        <v>SVAR_BMS_OverVolt_Threshold_u8</v>
      </c>
      <c r="B14" s="9">
        <f t="shared" ca="1" si="1"/>
        <v>1</v>
      </c>
      <c r="C14">
        <f t="shared" ca="1" si="2"/>
        <v>1</v>
      </c>
      <c r="D14" s="9" t="str">
        <f t="shared" ca="1" si="3"/>
        <v>OverVolt_Threshold  variable</v>
      </c>
    </row>
    <row r="15" spans="1:4" x14ac:dyDescent="0.3">
      <c r="A15" t="str">
        <f t="shared" ca="1" si="0"/>
        <v>SVAR_BMS_Module_Count_1_s16</v>
      </c>
      <c r="B15" s="9">
        <f t="shared" ca="1" si="1"/>
        <v>2</v>
      </c>
      <c r="C15">
        <f t="shared" ca="1" si="2"/>
        <v>1</v>
      </c>
      <c r="D15" s="9" t="str">
        <f t="shared" ca="1" si="3"/>
        <v>Module_Count_1  variable</v>
      </c>
    </row>
    <row r="16" spans="1:4" x14ac:dyDescent="0.3">
      <c r="A16" t="str">
        <f t="shared" ca="1" si="0"/>
        <v>SVAR_BMS_Module_Count_2_u8</v>
      </c>
      <c r="B16" s="9">
        <f t="shared" ca="1" si="1"/>
        <v>1</v>
      </c>
      <c r="C16">
        <f t="shared" ca="1" si="2"/>
        <v>1</v>
      </c>
      <c r="D16" s="9" t="str">
        <f t="shared" ca="1" si="3"/>
        <v>Module_Count_2  variable</v>
      </c>
    </row>
    <row r="17" spans="1:4" x14ac:dyDescent="0.3">
      <c r="A17" t="str">
        <f t="shared" ca="1" si="0"/>
        <v>SVAR_BMS_Module_Count_3_u8</v>
      </c>
      <c r="B17" s="9">
        <f t="shared" ca="1" si="1"/>
        <v>1</v>
      </c>
      <c r="C17">
        <f t="shared" ca="1" si="2"/>
        <v>1</v>
      </c>
      <c r="D17" s="9" t="str">
        <f t="shared" ca="1" si="3"/>
        <v>Module_Count_3  variable</v>
      </c>
    </row>
    <row r="18" spans="1:4" x14ac:dyDescent="0.3">
      <c r="A18" t="str">
        <f t="shared" ca="1" si="0"/>
        <v>SVAR_BMS_Module_Count_4_u8</v>
      </c>
      <c r="B18" s="9">
        <f t="shared" ca="1" si="1"/>
        <v>1</v>
      </c>
      <c r="C18">
        <f t="shared" ca="1" si="2"/>
        <v>1</v>
      </c>
      <c r="D18" s="9" t="str">
        <f t="shared" ca="1" si="3"/>
        <v>Module_Count_4  variable</v>
      </c>
    </row>
    <row r="19" spans="1:4" x14ac:dyDescent="0.3">
      <c r="A19" t="str">
        <f t="shared" ca="1" si="0"/>
        <v>SVAR_BMS_Module_Count_5_u8</v>
      </c>
      <c r="B19" s="9">
        <f t="shared" ca="1" si="1"/>
        <v>1</v>
      </c>
      <c r="C19">
        <f t="shared" ca="1" si="2"/>
        <v>1</v>
      </c>
      <c r="D19" s="9" t="str">
        <f t="shared" ca="1" si="3"/>
        <v>Module_Count_5  variable</v>
      </c>
    </row>
    <row r="20" spans="1:4" x14ac:dyDescent="0.3">
      <c r="A20" t="str">
        <f t="shared" ca="1" si="0"/>
        <v>SVAR_BMS_Module_Count_6_u32</v>
      </c>
      <c r="B20" s="9">
        <f t="shared" ca="1" si="1"/>
        <v>4</v>
      </c>
      <c r="C20">
        <f t="shared" ca="1" si="2"/>
        <v>1</v>
      </c>
      <c r="D20" s="9" t="str">
        <f t="shared" ca="1" si="3"/>
        <v>Module_Count_6  variable</v>
      </c>
    </row>
    <row r="21" spans="1:4" x14ac:dyDescent="0.3">
      <c r="A21" t="str">
        <f t="shared" ca="1" si="0"/>
        <v>SVAR_BMS_Module_Count_7_u8</v>
      </c>
      <c r="B21" s="9">
        <f t="shared" ca="1" si="1"/>
        <v>1</v>
      </c>
      <c r="C21">
        <f t="shared" ca="1" si="2"/>
        <v>1</v>
      </c>
      <c r="D21" s="9" t="str">
        <f t="shared" ca="1" si="3"/>
        <v>Module_Count_7  variable</v>
      </c>
    </row>
    <row r="22" spans="1:4" x14ac:dyDescent="0.3">
      <c r="A22" t="str">
        <f t="shared" ca="1" si="0"/>
        <v>SVAR_BMS_Module_Count_8_u8</v>
      </c>
      <c r="B22" s="9">
        <f t="shared" ca="1" si="1"/>
        <v>1</v>
      </c>
      <c r="C22">
        <f t="shared" ca="1" si="2"/>
        <v>1</v>
      </c>
      <c r="D22" s="9" t="str">
        <f t="shared" ca="1" si="3"/>
        <v>Module_Count_8  variable</v>
      </c>
    </row>
    <row r="23" spans="1:4" x14ac:dyDescent="0.3">
      <c r="A23" t="str">
        <f t="shared" ca="1" si="0"/>
        <v>SVAR_BMS_Module_Count_9_u32</v>
      </c>
      <c r="B23" s="9">
        <f t="shared" ca="1" si="1"/>
        <v>4</v>
      </c>
      <c r="C23">
        <f t="shared" ca="1" si="2"/>
        <v>1</v>
      </c>
      <c r="D23" s="9" t="str">
        <f t="shared" ca="1" si="3"/>
        <v>Module_Count_9  variable</v>
      </c>
    </row>
    <row r="24" spans="1:4" x14ac:dyDescent="0.3">
      <c r="A24" t="str">
        <f t="shared" ca="1" si="0"/>
        <v>SVAR_BMS_Module_Count_10_u8</v>
      </c>
      <c r="B24" s="9">
        <f t="shared" ca="1" si="1"/>
        <v>1</v>
      </c>
      <c r="C24">
        <f t="shared" ca="1" si="2"/>
        <v>2</v>
      </c>
      <c r="D24" s="9" t="str">
        <f t="shared" ca="1" si="3"/>
        <v>Module_Count_10  variable</v>
      </c>
    </row>
    <row r="25" spans="1:4" x14ac:dyDescent="0.3">
      <c r="A25" t="str">
        <f t="shared" ca="1" si="0"/>
        <v>SVAR_BMS_Module_Count_11_u64</v>
      </c>
      <c r="B25" s="9">
        <f t="shared" ca="1" si="1"/>
        <v>8</v>
      </c>
      <c r="C25">
        <f t="shared" ca="1" si="2"/>
        <v>1</v>
      </c>
      <c r="D25" s="9" t="str">
        <f t="shared" ca="1" si="3"/>
        <v>Module_Count_11  variable</v>
      </c>
    </row>
    <row r="26" spans="1:4" x14ac:dyDescent="0.3">
      <c r="A26" t="str">
        <f t="shared" ca="1" si="0"/>
        <v>SVAR_BMS_Module_Count_12_u8</v>
      </c>
      <c r="B26" s="9">
        <f t="shared" ca="1" si="1"/>
        <v>1</v>
      </c>
      <c r="C26">
        <f t="shared" ca="1" si="2"/>
        <v>1</v>
      </c>
      <c r="D26" s="9" t="str">
        <f t="shared" ca="1" si="3"/>
        <v>Module_Count_12  variable</v>
      </c>
    </row>
    <row r="27" spans="1:4" x14ac:dyDescent="0.3">
      <c r="A27" t="str">
        <f t="shared" ca="1" si="0"/>
        <v>SVAR_BMS_Module_Count_13_u8</v>
      </c>
      <c r="B27" s="9">
        <f t="shared" ca="1" si="1"/>
        <v>1</v>
      </c>
      <c r="C27">
        <f t="shared" ca="1" si="2"/>
        <v>1</v>
      </c>
      <c r="D27" s="9" t="str">
        <f t="shared" ca="1" si="3"/>
        <v>Module_Count_13  variable</v>
      </c>
    </row>
    <row r="28" spans="1:4" x14ac:dyDescent="0.3">
      <c r="A28" t="str">
        <f t="shared" ca="1" si="0"/>
        <v>SVAR_BMS_Module_Count_14_b</v>
      </c>
      <c r="B28" s="9">
        <f t="shared" ca="1" si="1"/>
        <v>1</v>
      </c>
      <c r="C28">
        <f t="shared" ca="1" si="2"/>
        <v>1</v>
      </c>
      <c r="D28" s="9" t="str">
        <f t="shared" ca="1" si="3"/>
        <v>Module_Count_14  variable</v>
      </c>
    </row>
    <row r="29" spans="1:4" x14ac:dyDescent="0.3">
      <c r="A29" t="str">
        <f t="shared" ca="1" si="0"/>
        <v>SVAR_BMS_Module_Count_15_b</v>
      </c>
      <c r="B29" s="9">
        <f t="shared" ca="1" si="1"/>
        <v>1</v>
      </c>
      <c r="C29">
        <f t="shared" ca="1" si="2"/>
        <v>1</v>
      </c>
      <c r="D29" s="9" t="str">
        <f t="shared" ca="1" si="3"/>
        <v>Module_Count_15  variable</v>
      </c>
    </row>
    <row r="30" spans="1:4" x14ac:dyDescent="0.3">
      <c r="A30" t="str">
        <f t="shared" ca="1" si="0"/>
        <v>SVAR_BMS_Module_Count_16_u8</v>
      </c>
      <c r="B30" s="9">
        <f t="shared" ca="1" si="1"/>
        <v>1</v>
      </c>
      <c r="C30">
        <f t="shared" ca="1" si="2"/>
        <v>1</v>
      </c>
      <c r="D30" s="9" t="str">
        <f t="shared" ca="1" si="3"/>
        <v>Module_Count_16  variable</v>
      </c>
    </row>
    <row r="31" spans="1:4" x14ac:dyDescent="0.3">
      <c r="A31" t="str">
        <f t="shared" ca="1" si="0"/>
        <v>SVAR_BMS_Module_Count_17_u8</v>
      </c>
      <c r="B31" s="9">
        <f t="shared" ca="1" si="1"/>
        <v>1</v>
      </c>
      <c r="C31">
        <f t="shared" ca="1" si="2"/>
        <v>1</v>
      </c>
      <c r="D31" s="9" t="str">
        <f t="shared" ca="1" si="3"/>
        <v>Module_Count_17  variable</v>
      </c>
    </row>
    <row r="32" spans="1:4" x14ac:dyDescent="0.3">
      <c r="A32" t="str">
        <f t="shared" ca="1" si="0"/>
        <v>SVAR_BMS_Module_Count_18_u8</v>
      </c>
      <c r="B32" s="9">
        <f t="shared" ca="1" si="1"/>
        <v>1</v>
      </c>
      <c r="C32">
        <f t="shared" ca="1" si="2"/>
        <v>1</v>
      </c>
      <c r="D32" s="9" t="str">
        <f t="shared" ca="1" si="3"/>
        <v>Module_Count_18  variable</v>
      </c>
    </row>
    <row r="33" spans="1:4" x14ac:dyDescent="0.3">
      <c r="A33" t="str">
        <f t="shared" ca="1" si="0"/>
        <v>SVAR_BMS_Module_Count_19_u8</v>
      </c>
      <c r="B33" s="9">
        <f t="shared" ca="1" si="1"/>
        <v>1</v>
      </c>
      <c r="C33">
        <f t="shared" ca="1" si="2"/>
        <v>1</v>
      </c>
      <c r="D33" s="9" t="str">
        <f t="shared" ca="1" si="3"/>
        <v>Module_Count_19  variable</v>
      </c>
    </row>
    <row r="34" spans="1:4" x14ac:dyDescent="0.3">
      <c r="A34" t="str">
        <f t="shared" ca="1" si="0"/>
        <v>SVAR_BMS_Module_Count_20_u8</v>
      </c>
      <c r="B34" s="9">
        <f t="shared" ca="1" si="1"/>
        <v>1</v>
      </c>
      <c r="C34">
        <f t="shared" ca="1" si="2"/>
        <v>1</v>
      </c>
      <c r="D34" s="9" t="str">
        <f t="shared" ca="1" si="3"/>
        <v>Module_Count_20  variable</v>
      </c>
    </row>
    <row r="35" spans="1:4" x14ac:dyDescent="0.3">
      <c r="A35" t="str">
        <f t="shared" ca="1" si="0"/>
        <v>SVAR_BMS_Module_Count_21_add</v>
      </c>
      <c r="B35" s="9">
        <f t="shared" ca="1" si="1"/>
        <v>4</v>
      </c>
      <c r="C35">
        <f t="shared" ca="1" si="2"/>
        <v>1</v>
      </c>
      <c r="D35" s="9" t="str">
        <f t="shared" ca="1" si="3"/>
        <v>Module_Count_21  variable</v>
      </c>
    </row>
    <row r="36" spans="1:4" x14ac:dyDescent="0.3">
      <c r="A36" t="str">
        <f t="shared" ca="1" si="0"/>
        <v>SVAR_BMS_Module_Count_22_u8</v>
      </c>
      <c r="B36" s="9">
        <f t="shared" ca="1" si="1"/>
        <v>1</v>
      </c>
      <c r="C36">
        <f t="shared" ca="1" si="2"/>
        <v>1</v>
      </c>
      <c r="D36" s="9" t="str">
        <f t="shared" ca="1" si="3"/>
        <v>Module_Count_22  variable</v>
      </c>
    </row>
    <row r="37" spans="1:4" x14ac:dyDescent="0.3">
      <c r="A37" t="str">
        <f t="shared" ca="1" si="0"/>
        <v>SVAR_BMS_Module_Count_23_u8</v>
      </c>
      <c r="B37" s="9">
        <f t="shared" ca="1" si="1"/>
        <v>1</v>
      </c>
      <c r="C37">
        <f t="shared" ca="1" si="2"/>
        <v>1</v>
      </c>
      <c r="D37" s="9" t="str">
        <f t="shared" ca="1" si="3"/>
        <v>Module_Count_23  variable</v>
      </c>
    </row>
    <row r="38" spans="1:4" x14ac:dyDescent="0.3">
      <c r="A38" t="str">
        <f t="shared" ca="1" si="0"/>
        <v>SVAR_BMS_Module_Count_24_u8</v>
      </c>
      <c r="B38" s="9">
        <f t="shared" ca="1" si="1"/>
        <v>1</v>
      </c>
      <c r="C38">
        <f t="shared" ca="1" si="2"/>
        <v>1</v>
      </c>
      <c r="D38" s="9" t="str">
        <f t="shared" ca="1" si="3"/>
        <v>Module_Count_24  variable</v>
      </c>
    </row>
    <row r="39" spans="1:4" x14ac:dyDescent="0.3">
      <c r="A39" t="str">
        <f t="shared" ca="1" si="0"/>
        <v>SVAR_BMS_Module_Count_25_u8</v>
      </c>
      <c r="B39" s="9">
        <f t="shared" ca="1" si="1"/>
        <v>1</v>
      </c>
      <c r="C39">
        <f t="shared" ca="1" si="2"/>
        <v>1</v>
      </c>
      <c r="D39" s="9" t="str">
        <f t="shared" ca="1" si="3"/>
        <v>Module_Count_25  variable</v>
      </c>
    </row>
    <row r="40" spans="1:4" x14ac:dyDescent="0.3">
      <c r="A40" t="str">
        <f t="shared" ca="1" si="0"/>
        <v>SVAR_BMS_Module_Count_26_f</v>
      </c>
      <c r="B40" s="9">
        <f t="shared" ca="1" si="1"/>
        <v>4</v>
      </c>
      <c r="C40">
        <f t="shared" ca="1" si="2"/>
        <v>1</v>
      </c>
      <c r="D40" s="9" t="str">
        <f t="shared" ca="1" si="3"/>
        <v>Module_Count_26  variable</v>
      </c>
    </row>
    <row r="41" spans="1:4" x14ac:dyDescent="0.3">
      <c r="A41" t="str">
        <f t="shared" ca="1" si="0"/>
        <v>SVAR_BMS_Module_Count_27_u8</v>
      </c>
      <c r="B41" s="9">
        <f t="shared" ca="1" si="1"/>
        <v>1</v>
      </c>
      <c r="C41">
        <f t="shared" ca="1" si="2"/>
        <v>1</v>
      </c>
      <c r="D41" s="9" t="str">
        <f t="shared" ca="1" si="3"/>
        <v>Module_Count_27  variable</v>
      </c>
    </row>
    <row r="42" spans="1:4" x14ac:dyDescent="0.3">
      <c r="A42" t="str">
        <f t="shared" ca="1" si="0"/>
        <v>SVAR_BMS_Module_Count_28_u8</v>
      </c>
      <c r="B42" s="9">
        <f t="shared" ca="1" si="1"/>
        <v>1</v>
      </c>
      <c r="C42">
        <f t="shared" ca="1" si="2"/>
        <v>1</v>
      </c>
      <c r="D42" s="9" t="str">
        <f t="shared" ca="1" si="3"/>
        <v>Module_Count_28  variable</v>
      </c>
    </row>
    <row r="43" spans="1:4" x14ac:dyDescent="0.3">
      <c r="A43" t="str">
        <f t="shared" ca="1" si="0"/>
        <v>SVAR_BMS_Module_Count_29_u8</v>
      </c>
      <c r="B43" s="9">
        <f t="shared" ca="1" si="1"/>
        <v>1</v>
      </c>
      <c r="C43">
        <f t="shared" ca="1" si="2"/>
        <v>1</v>
      </c>
      <c r="D43" s="9" t="str">
        <f t="shared" ca="1" si="3"/>
        <v>Module_Count_29  variable</v>
      </c>
    </row>
    <row r="44" spans="1:4" x14ac:dyDescent="0.3">
      <c r="A44" t="str">
        <f t="shared" ca="1" si="0"/>
        <v>SVAR_BMS_Module_Count_30_s8</v>
      </c>
      <c r="B44" s="9">
        <f t="shared" ca="1" si="1"/>
        <v>1</v>
      </c>
      <c r="C44">
        <f t="shared" ca="1" si="2"/>
        <v>1</v>
      </c>
      <c r="D44" s="9" t="str">
        <f t="shared" ca="1" si="3"/>
        <v>Module_Count_30  variable</v>
      </c>
    </row>
    <row r="45" spans="1:4" x14ac:dyDescent="0.3">
      <c r="A45" t="str">
        <f t="shared" ca="1" si="0"/>
        <v>SVAR_BMS_Module_Count_31_b</v>
      </c>
      <c r="B45" s="9">
        <f t="shared" ca="1" si="1"/>
        <v>1</v>
      </c>
      <c r="C45">
        <f t="shared" ca="1" si="2"/>
        <v>1</v>
      </c>
      <c r="D45" s="9" t="str">
        <f t="shared" ca="1" si="3"/>
        <v>Module_Count_31  variable</v>
      </c>
    </row>
    <row r="46" spans="1:4" x14ac:dyDescent="0.3">
      <c r="A46" t="str">
        <f t="shared" ca="1" si="0"/>
        <v>SVAR_BMS_Module_Count_32_s32</v>
      </c>
      <c r="B46" s="9">
        <f t="shared" ca="1" si="1"/>
        <v>4</v>
      </c>
      <c r="C46">
        <f t="shared" ca="1" si="2"/>
        <v>1</v>
      </c>
      <c r="D46" s="9" t="str">
        <f t="shared" ca="1" si="3"/>
        <v>Module_Count_32  variable</v>
      </c>
    </row>
    <row r="47" spans="1:4" x14ac:dyDescent="0.3">
      <c r="A47" s="1" t="s">
        <v>65</v>
      </c>
      <c r="B47" s="9" t="str">
        <f ca="1">INDIRECT("'" &amp; $C$47 &amp; "'!B1")</f>
        <v>CONFIGURATION</v>
      </c>
      <c r="C47" s="1" t="s">
        <v>116</v>
      </c>
      <c r="D47" s="9">
        <f t="shared" ca="1" si="3"/>
        <v>0</v>
      </c>
    </row>
    <row r="48" spans="1:4" x14ac:dyDescent="0.3">
      <c r="A48">
        <f t="shared" ca="1" si="0"/>
        <v>0</v>
      </c>
      <c r="B48" s="9">
        <f t="shared" ca="1" si="1"/>
        <v>0</v>
      </c>
      <c r="C48">
        <f t="shared" ca="1" si="2"/>
        <v>0</v>
      </c>
      <c r="D48" s="9">
        <f t="shared" ca="1" si="3"/>
        <v>0</v>
      </c>
    </row>
    <row r="49" spans="1:4" x14ac:dyDescent="0.3">
      <c r="A49">
        <f t="shared" ca="1" si="0"/>
        <v>0</v>
      </c>
      <c r="B49" s="9">
        <f t="shared" ca="1" si="1"/>
        <v>0</v>
      </c>
      <c r="C49">
        <f t="shared" ca="1" si="2"/>
        <v>0</v>
      </c>
      <c r="D49" s="9">
        <f t="shared" ca="1" si="3"/>
        <v>0</v>
      </c>
    </row>
    <row r="50" spans="1:4" x14ac:dyDescent="0.3">
      <c r="A50">
        <f t="shared" ca="1" si="0"/>
        <v>0</v>
      </c>
      <c r="B50" s="9">
        <f t="shared" ca="1" si="1"/>
        <v>0</v>
      </c>
      <c r="C50">
        <f t="shared" ca="1" si="2"/>
        <v>0</v>
      </c>
      <c r="D50" s="9">
        <f t="shared" ca="1" si="3"/>
        <v>0</v>
      </c>
    </row>
    <row r="51" spans="1:4" x14ac:dyDescent="0.3">
      <c r="A51">
        <f t="shared" ca="1" si="0"/>
        <v>0</v>
      </c>
      <c r="B51" s="9">
        <f t="shared" ca="1" si="1"/>
        <v>0</v>
      </c>
      <c r="C51">
        <f t="shared" ca="1" si="2"/>
        <v>0</v>
      </c>
      <c r="D51" s="9">
        <f t="shared" ca="1" si="3"/>
        <v>0</v>
      </c>
    </row>
    <row r="52" spans="1:4" x14ac:dyDescent="0.3">
      <c r="A52">
        <f t="shared" ca="1" si="0"/>
        <v>0</v>
      </c>
      <c r="B52" s="9">
        <f t="shared" ca="1" si="1"/>
        <v>0</v>
      </c>
      <c r="C52">
        <f t="shared" ca="1" si="2"/>
        <v>0</v>
      </c>
      <c r="D52" s="9">
        <f t="shared" ca="1" si="3"/>
        <v>0</v>
      </c>
    </row>
    <row r="53" spans="1:4" x14ac:dyDescent="0.3">
      <c r="A53">
        <f t="shared" ca="1" si="0"/>
        <v>0</v>
      </c>
      <c r="B53" s="9">
        <f t="shared" ca="1" si="1"/>
        <v>0</v>
      </c>
      <c r="C53">
        <f t="shared" ca="1" si="2"/>
        <v>0</v>
      </c>
      <c r="D53" s="9">
        <f t="shared" ca="1" si="3"/>
        <v>0</v>
      </c>
    </row>
    <row r="54" spans="1:4" x14ac:dyDescent="0.3">
      <c r="A54">
        <f t="shared" ca="1" si="0"/>
        <v>0</v>
      </c>
      <c r="B54" s="9">
        <f t="shared" ca="1" si="1"/>
        <v>0</v>
      </c>
      <c r="C54">
        <f t="shared" ca="1" si="2"/>
        <v>0</v>
      </c>
      <c r="D54" s="9">
        <f t="shared" ca="1" si="3"/>
        <v>0</v>
      </c>
    </row>
    <row r="55" spans="1:4" x14ac:dyDescent="0.3">
      <c r="A55">
        <f t="shared" ca="1" si="0"/>
        <v>0</v>
      </c>
      <c r="B55" s="9">
        <f t="shared" ca="1" si="1"/>
        <v>0</v>
      </c>
      <c r="C55">
        <f t="shared" ca="1" si="2"/>
        <v>0</v>
      </c>
      <c r="D55" s="9">
        <f t="shared" ca="1" si="3"/>
        <v>0</v>
      </c>
    </row>
    <row r="56" spans="1:4" x14ac:dyDescent="0.3">
      <c r="A56">
        <f t="shared" ca="1" si="0"/>
        <v>0</v>
      </c>
      <c r="B56" s="9">
        <f t="shared" ca="1" si="1"/>
        <v>0</v>
      </c>
      <c r="C56">
        <f t="shared" ca="1" si="2"/>
        <v>0</v>
      </c>
      <c r="D56" s="9">
        <f t="shared" ca="1" si="3"/>
        <v>0</v>
      </c>
    </row>
    <row r="57" spans="1:4" x14ac:dyDescent="0.3">
      <c r="A57">
        <f t="shared" ca="1" si="0"/>
        <v>0</v>
      </c>
      <c r="B57" s="9">
        <f t="shared" ca="1" si="1"/>
        <v>0</v>
      </c>
      <c r="C57">
        <f t="shared" ca="1" si="2"/>
        <v>0</v>
      </c>
      <c r="D57" s="9">
        <f t="shared" ca="1" si="3"/>
        <v>0</v>
      </c>
    </row>
    <row r="58" spans="1:4" x14ac:dyDescent="0.3">
      <c r="A58">
        <f t="shared" ca="1" si="0"/>
        <v>0</v>
      </c>
      <c r="B58" s="9">
        <f t="shared" ca="1" si="1"/>
        <v>0</v>
      </c>
      <c r="C58">
        <f t="shared" ca="1" si="2"/>
        <v>0</v>
      </c>
      <c r="D58" s="9">
        <f t="shared" ca="1" si="3"/>
        <v>0</v>
      </c>
    </row>
    <row r="59" spans="1:4" x14ac:dyDescent="0.3">
      <c r="A59">
        <f t="shared" ca="1" si="0"/>
        <v>0</v>
      </c>
      <c r="B59" s="9">
        <f t="shared" ca="1" si="1"/>
        <v>0</v>
      </c>
      <c r="C59">
        <f t="shared" ca="1" si="2"/>
        <v>0</v>
      </c>
      <c r="D59" s="9">
        <f t="shared" ca="1" si="3"/>
        <v>0</v>
      </c>
    </row>
    <row r="60" spans="1:4" x14ac:dyDescent="0.3">
      <c r="A60">
        <f t="shared" ca="1" si="0"/>
        <v>0</v>
      </c>
      <c r="B60" s="9">
        <f t="shared" ca="1" si="1"/>
        <v>0</v>
      </c>
      <c r="C60">
        <f t="shared" ca="1" si="2"/>
        <v>0</v>
      </c>
      <c r="D60" s="9">
        <f t="shared" ca="1" si="3"/>
        <v>0</v>
      </c>
    </row>
    <row r="61" spans="1:4" x14ac:dyDescent="0.3">
      <c r="A61">
        <f t="shared" ca="1" si="0"/>
        <v>0</v>
      </c>
      <c r="B61" s="9">
        <f t="shared" ca="1" si="1"/>
        <v>0</v>
      </c>
      <c r="C61">
        <f t="shared" ca="1" si="2"/>
        <v>0</v>
      </c>
      <c r="D61" s="9">
        <f t="shared" ca="1" si="3"/>
        <v>0</v>
      </c>
    </row>
    <row r="62" spans="1:4" x14ac:dyDescent="0.3">
      <c r="A62">
        <f t="shared" ca="1" si="0"/>
        <v>0</v>
      </c>
      <c r="B62" s="9">
        <f t="shared" ca="1" si="1"/>
        <v>0</v>
      </c>
      <c r="C62">
        <f t="shared" ca="1" si="2"/>
        <v>0</v>
      </c>
      <c r="D62" s="9">
        <f t="shared" ca="1" si="3"/>
        <v>0</v>
      </c>
    </row>
    <row r="63" spans="1:4" x14ac:dyDescent="0.3">
      <c r="A63">
        <f t="shared" ca="1" si="0"/>
        <v>0</v>
      </c>
      <c r="B63" s="9">
        <f t="shared" ca="1" si="1"/>
        <v>0</v>
      </c>
      <c r="C63">
        <f t="shared" ca="1" si="2"/>
        <v>0</v>
      </c>
      <c r="D63" s="9">
        <f t="shared" ca="1" si="3"/>
        <v>0</v>
      </c>
    </row>
    <row r="64" spans="1:4" x14ac:dyDescent="0.3">
      <c r="A64">
        <f t="shared" ca="1" si="0"/>
        <v>0</v>
      </c>
      <c r="B64" s="9">
        <f t="shared" ca="1" si="1"/>
        <v>0</v>
      </c>
      <c r="C64">
        <f t="shared" ca="1" si="2"/>
        <v>0</v>
      </c>
      <c r="D64" s="9">
        <f t="shared" ca="1" si="3"/>
        <v>0</v>
      </c>
    </row>
    <row r="65" spans="1:4" x14ac:dyDescent="0.3">
      <c r="A65">
        <f t="shared" ca="1" si="0"/>
        <v>0</v>
      </c>
      <c r="B65" s="9">
        <f t="shared" ca="1" si="1"/>
        <v>0</v>
      </c>
      <c r="C65">
        <f t="shared" ca="1" si="2"/>
        <v>0</v>
      </c>
      <c r="D65" s="9">
        <f t="shared" ca="1" si="3"/>
        <v>0</v>
      </c>
    </row>
    <row r="66" spans="1:4" x14ac:dyDescent="0.3">
      <c r="A66">
        <f t="shared" ca="1" si="0"/>
        <v>0</v>
      </c>
      <c r="B66" s="9">
        <f t="shared" ca="1" si="1"/>
        <v>0</v>
      </c>
      <c r="C66">
        <f t="shared" ca="1" si="2"/>
        <v>0</v>
      </c>
      <c r="D66" s="9">
        <f t="shared" ca="1" si="3"/>
        <v>0</v>
      </c>
    </row>
    <row r="67" spans="1:4" x14ac:dyDescent="0.3">
      <c r="A67">
        <f t="shared" ca="1" si="0"/>
        <v>0</v>
      </c>
      <c r="B67" s="9">
        <f t="shared" ca="1" si="1"/>
        <v>0</v>
      </c>
      <c r="C67">
        <f t="shared" ca="1" si="2"/>
        <v>0</v>
      </c>
      <c r="D67" s="9">
        <f t="shared" ca="1" si="3"/>
        <v>0</v>
      </c>
    </row>
    <row r="68" spans="1:4" x14ac:dyDescent="0.3">
      <c r="A68">
        <f t="shared" ca="1" si="0"/>
        <v>0</v>
      </c>
      <c r="B68" s="9">
        <f t="shared" ca="1" si="1"/>
        <v>0</v>
      </c>
      <c r="C68">
        <f t="shared" ca="1" si="2"/>
        <v>0</v>
      </c>
      <c r="D68" s="9">
        <f t="shared" ca="1" si="3"/>
        <v>0</v>
      </c>
    </row>
    <row r="69" spans="1:4" x14ac:dyDescent="0.3">
      <c r="A69">
        <f t="shared" ca="1" si="0"/>
        <v>0</v>
      </c>
      <c r="B69" s="9">
        <f t="shared" ca="1" si="1"/>
        <v>0</v>
      </c>
      <c r="C69">
        <f t="shared" ca="1" si="2"/>
        <v>0</v>
      </c>
      <c r="D69" s="9">
        <f t="shared" ca="1" si="3"/>
        <v>0</v>
      </c>
    </row>
    <row r="70" spans="1:4" x14ac:dyDescent="0.3">
      <c r="A70">
        <f t="shared" ca="1" si="0"/>
        <v>0</v>
      </c>
      <c r="B70" s="9">
        <f t="shared" ca="1" si="1"/>
        <v>0</v>
      </c>
      <c r="C70">
        <f t="shared" ca="1" si="2"/>
        <v>0</v>
      </c>
      <c r="D70" s="9">
        <f t="shared" ca="1" si="3"/>
        <v>0</v>
      </c>
    </row>
    <row r="71" spans="1:4" x14ac:dyDescent="0.3">
      <c r="A71">
        <f t="shared" ca="1" si="0"/>
        <v>0</v>
      </c>
      <c r="B71" s="9">
        <f t="shared" ca="1" si="1"/>
        <v>0</v>
      </c>
      <c r="C71">
        <f t="shared" ca="1" si="2"/>
        <v>0</v>
      </c>
      <c r="D71" s="9">
        <f t="shared" ca="1" si="3"/>
        <v>0</v>
      </c>
    </row>
    <row r="72" spans="1:4" x14ac:dyDescent="0.3">
      <c r="A72">
        <f t="shared" ca="1" si="0"/>
        <v>0</v>
      </c>
      <c r="B72" s="9">
        <f t="shared" ca="1" si="1"/>
        <v>0</v>
      </c>
      <c r="C72">
        <f t="shared" ca="1" si="2"/>
        <v>0</v>
      </c>
      <c r="D72" s="9">
        <f t="shared" ca="1" si="3"/>
        <v>0</v>
      </c>
    </row>
    <row r="73" spans="1:4" x14ac:dyDescent="0.3">
      <c r="A73">
        <f t="shared" ca="1" si="0"/>
        <v>0</v>
      </c>
      <c r="B73" s="9">
        <f t="shared" ca="1" si="1"/>
        <v>0</v>
      </c>
      <c r="C73">
        <f t="shared" ca="1" si="2"/>
        <v>0</v>
      </c>
      <c r="D73" s="9">
        <f t="shared" ca="1" si="3"/>
        <v>0</v>
      </c>
    </row>
    <row r="74" spans="1:4" x14ac:dyDescent="0.3">
      <c r="A74">
        <f t="shared" ca="1" si="0"/>
        <v>0</v>
      </c>
      <c r="B74" s="9">
        <f t="shared" ca="1" si="1"/>
        <v>0</v>
      </c>
      <c r="C74">
        <f t="shared" ca="1" si="2"/>
        <v>0</v>
      </c>
      <c r="D74" s="9">
        <f t="shared" ca="1" si="3"/>
        <v>0</v>
      </c>
    </row>
    <row r="75" spans="1:4" x14ac:dyDescent="0.3">
      <c r="A75">
        <f t="shared" ca="1" si="0"/>
        <v>0</v>
      </c>
      <c r="B75" s="9">
        <f t="shared" ca="1" si="1"/>
        <v>0</v>
      </c>
      <c r="C75">
        <f t="shared" ca="1" si="2"/>
        <v>0</v>
      </c>
      <c r="D75" s="9">
        <f t="shared" ca="1" si="3"/>
        <v>0</v>
      </c>
    </row>
    <row r="76" spans="1:4" x14ac:dyDescent="0.3">
      <c r="A76">
        <f t="shared" ca="1" si="0"/>
        <v>0</v>
      </c>
      <c r="B76" s="9">
        <f t="shared" ca="1" si="1"/>
        <v>0</v>
      </c>
      <c r="C76">
        <f t="shared" ca="1" si="2"/>
        <v>0</v>
      </c>
      <c r="D76" s="9">
        <f t="shared" ca="1" si="3"/>
        <v>0</v>
      </c>
    </row>
    <row r="77" spans="1:4" x14ac:dyDescent="0.3">
      <c r="A77">
        <f t="shared" ref="A77:A83" ca="1" si="4">INDIRECT("'" &amp; $C$11 &amp; "'!G" &amp; ROW()-5)</f>
        <v>0</v>
      </c>
      <c r="B77" s="9">
        <f t="shared" ref="B77:B83" ca="1" si="5">INDIRECT("'" &amp; $C$11 &amp; "'!H" &amp; ROW()-5)</f>
        <v>0</v>
      </c>
      <c r="C77">
        <f t="shared" ref="C77:C82" ca="1" si="6">INDIRECT("'" &amp; $C$11 &amp; "'!J" &amp; ROW()-5)</f>
        <v>0</v>
      </c>
      <c r="D77" s="9">
        <f t="shared" ref="D77:D83" ca="1" si="7">INDIRECT("'" &amp; $C$11 &amp; "'!K" &amp; ROW()-5)</f>
        <v>0</v>
      </c>
    </row>
    <row r="78" spans="1:4" x14ac:dyDescent="0.3">
      <c r="A78">
        <f t="shared" ca="1" si="4"/>
        <v>0</v>
      </c>
      <c r="B78" s="9">
        <f t="shared" ca="1" si="5"/>
        <v>0</v>
      </c>
      <c r="C78">
        <f t="shared" ca="1" si="6"/>
        <v>0</v>
      </c>
      <c r="D78" s="9">
        <f t="shared" ca="1" si="7"/>
        <v>0</v>
      </c>
    </row>
    <row r="79" spans="1:4" x14ac:dyDescent="0.3">
      <c r="A79">
        <f t="shared" ca="1" si="4"/>
        <v>0</v>
      </c>
      <c r="B79" s="9">
        <f t="shared" ca="1" si="5"/>
        <v>0</v>
      </c>
      <c r="C79">
        <f t="shared" ca="1" si="6"/>
        <v>0</v>
      </c>
      <c r="D79" s="9">
        <f t="shared" ca="1" si="7"/>
        <v>0</v>
      </c>
    </row>
    <row r="80" spans="1:4" x14ac:dyDescent="0.3">
      <c r="A80">
        <f t="shared" ca="1" si="4"/>
        <v>0</v>
      </c>
      <c r="B80" s="9">
        <f t="shared" ca="1" si="5"/>
        <v>0</v>
      </c>
      <c r="C80">
        <f t="shared" ca="1" si="6"/>
        <v>0</v>
      </c>
      <c r="D80" s="9">
        <f t="shared" ca="1" si="7"/>
        <v>0</v>
      </c>
    </row>
    <row r="81" spans="1:4" x14ac:dyDescent="0.3">
      <c r="A81">
        <f t="shared" ca="1" si="4"/>
        <v>0</v>
      </c>
      <c r="B81" s="9">
        <f t="shared" ca="1" si="5"/>
        <v>0</v>
      </c>
      <c r="C81">
        <f t="shared" ca="1" si="6"/>
        <v>0</v>
      </c>
      <c r="D81" s="9">
        <f t="shared" ca="1" si="7"/>
        <v>0</v>
      </c>
    </row>
    <row r="82" spans="1:4" x14ac:dyDescent="0.3">
      <c r="A82">
        <f t="shared" ca="1" si="4"/>
        <v>0</v>
      </c>
      <c r="B82" s="9">
        <f t="shared" ca="1" si="5"/>
        <v>0</v>
      </c>
      <c r="C82">
        <f t="shared" ca="1" si="6"/>
        <v>0</v>
      </c>
      <c r="D82" s="9">
        <f t="shared" ca="1" si="7"/>
        <v>0</v>
      </c>
    </row>
    <row r="83" spans="1:4" x14ac:dyDescent="0.3">
      <c r="A83">
        <f t="shared" ca="1" si="4"/>
        <v>0</v>
      </c>
      <c r="B83" s="9">
        <f t="shared" ca="1" si="5"/>
        <v>0</v>
      </c>
      <c r="D83" s="9">
        <f t="shared" ca="1" si="7"/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61D6F-539A-4564-B6A8-050E0FE4AE6E}">
  <dimension ref="A1:G50"/>
  <sheetViews>
    <sheetView workbookViewId="0">
      <selection activeCell="B22" sqref="B22"/>
    </sheetView>
  </sheetViews>
  <sheetFormatPr defaultRowHeight="14.4" x14ac:dyDescent="0.3"/>
  <cols>
    <col min="1" max="1" width="27.77734375" customWidth="1"/>
    <col min="2" max="2" width="34.77734375" style="7" customWidth="1"/>
    <col min="3" max="3" width="8.88671875" style="11"/>
    <col min="5" max="5" width="20.6640625" customWidth="1"/>
    <col min="6" max="6" width="18" customWidth="1"/>
    <col min="7" max="7" width="43.33203125" customWidth="1"/>
    <col min="8" max="8" width="12.21875" customWidth="1"/>
  </cols>
  <sheetData>
    <row r="1" spans="1:7" x14ac:dyDescent="0.3">
      <c r="A1" s="18" t="s">
        <v>60</v>
      </c>
      <c r="B1" s="19"/>
      <c r="G1" s="7"/>
    </row>
    <row r="2" spans="1:7" x14ac:dyDescent="0.3">
      <c r="A2" s="5" t="s">
        <v>57</v>
      </c>
      <c r="B2" s="10" t="s">
        <v>58</v>
      </c>
      <c r="F2" s="1"/>
      <c r="G2" s="8"/>
    </row>
    <row r="3" spans="1:7" ht="15" thickBot="1" x14ac:dyDescent="0.35">
      <c r="A3" s="5" t="s">
        <v>67</v>
      </c>
      <c r="B3" s="10" t="s">
        <v>61</v>
      </c>
      <c r="F3" s="1"/>
      <c r="G3" s="8"/>
    </row>
    <row r="4" spans="1:7" x14ac:dyDescent="0.3">
      <c r="A4" s="16" t="s">
        <v>59</v>
      </c>
      <c r="B4" s="17"/>
      <c r="F4" s="6"/>
      <c r="G4" s="8"/>
    </row>
    <row r="5" spans="1:7" x14ac:dyDescent="0.3">
      <c r="A5" s="5" t="s">
        <v>45</v>
      </c>
      <c r="B5" s="10">
        <v>1</v>
      </c>
      <c r="F5" s="6"/>
      <c r="G5" s="8"/>
    </row>
    <row r="6" spans="1:7" x14ac:dyDescent="0.3">
      <c r="A6" s="5" t="s">
        <v>63</v>
      </c>
      <c r="B6" s="10">
        <v>128</v>
      </c>
    </row>
    <row r="7" spans="1:7" x14ac:dyDescent="0.3">
      <c r="A7" s="5" t="s">
        <v>56</v>
      </c>
      <c r="B7" s="10" t="s">
        <v>55</v>
      </c>
    </row>
    <row r="8" spans="1:7" x14ac:dyDescent="0.3">
      <c r="A8" s="5" t="s">
        <v>62</v>
      </c>
      <c r="B8" s="10" t="s">
        <v>55</v>
      </c>
    </row>
    <row r="9" spans="1:7" x14ac:dyDescent="0.3">
      <c r="A9" s="5" t="s">
        <v>64</v>
      </c>
      <c r="B9" s="10" t="s">
        <v>54</v>
      </c>
    </row>
    <row r="10" spans="1:7" x14ac:dyDescent="0.3">
      <c r="A10" s="1" t="s">
        <v>111</v>
      </c>
      <c r="B10" s="9" t="s">
        <v>113</v>
      </c>
    </row>
    <row r="11" spans="1:7" x14ac:dyDescent="0.3">
      <c r="A11" s="1" t="s">
        <v>118</v>
      </c>
      <c r="B11" s="9">
        <v>65535</v>
      </c>
    </row>
    <row r="12" spans="1:7" x14ac:dyDescent="0.3">
      <c r="A12" s="1"/>
      <c r="B12" s="9"/>
      <c r="C12" s="12"/>
    </row>
    <row r="13" spans="1:7" x14ac:dyDescent="0.3">
      <c r="A13" s="1"/>
      <c r="B13" s="9"/>
    </row>
    <row r="14" spans="1:7" x14ac:dyDescent="0.3">
      <c r="A14" s="1"/>
      <c r="B14" s="9"/>
      <c r="C14" s="12"/>
    </row>
    <row r="15" spans="1:7" x14ac:dyDescent="0.3">
      <c r="A15" s="1"/>
      <c r="B15" s="15"/>
      <c r="C15" s="12"/>
      <c r="D15" s="1"/>
    </row>
    <row r="16" spans="1:7" x14ac:dyDescent="0.3">
      <c r="B16" s="9"/>
    </row>
    <row r="17" spans="2:2" x14ac:dyDescent="0.3">
      <c r="B17" s="9"/>
    </row>
    <row r="18" spans="2:2" x14ac:dyDescent="0.3">
      <c r="B18" s="9"/>
    </row>
    <row r="19" spans="2:2" x14ac:dyDescent="0.3">
      <c r="B19" s="9"/>
    </row>
    <row r="20" spans="2:2" x14ac:dyDescent="0.3">
      <c r="B20" s="9"/>
    </row>
    <row r="21" spans="2:2" x14ac:dyDescent="0.3">
      <c r="B21" s="9"/>
    </row>
    <row r="22" spans="2:2" x14ac:dyDescent="0.3">
      <c r="B22" s="9"/>
    </row>
    <row r="23" spans="2:2" x14ac:dyDescent="0.3">
      <c r="B23" s="9"/>
    </row>
    <row r="24" spans="2:2" x14ac:dyDescent="0.3">
      <c r="B24" s="9"/>
    </row>
    <row r="25" spans="2:2" x14ac:dyDescent="0.3">
      <c r="B25" s="9"/>
    </row>
    <row r="26" spans="2:2" x14ac:dyDescent="0.3">
      <c r="B26" s="9"/>
    </row>
    <row r="27" spans="2:2" x14ac:dyDescent="0.3">
      <c r="B27" s="9"/>
    </row>
    <row r="28" spans="2:2" x14ac:dyDescent="0.3">
      <c r="B28" s="9"/>
    </row>
    <row r="29" spans="2:2" x14ac:dyDescent="0.3">
      <c r="B29" s="9"/>
    </row>
    <row r="30" spans="2:2" x14ac:dyDescent="0.3">
      <c r="B30" s="9"/>
    </row>
    <row r="31" spans="2:2" x14ac:dyDescent="0.3">
      <c r="B31" s="9"/>
    </row>
    <row r="32" spans="2:2" x14ac:dyDescent="0.3">
      <c r="B32" s="9"/>
    </row>
    <row r="33" spans="2:2" x14ac:dyDescent="0.3">
      <c r="B33" s="9"/>
    </row>
    <row r="34" spans="2:2" x14ac:dyDescent="0.3">
      <c r="B34" s="9"/>
    </row>
    <row r="35" spans="2:2" x14ac:dyDescent="0.3">
      <c r="B35" s="9"/>
    </row>
    <row r="36" spans="2:2" x14ac:dyDescent="0.3">
      <c r="B36" s="9"/>
    </row>
    <row r="37" spans="2:2" x14ac:dyDescent="0.3">
      <c r="B37" s="9"/>
    </row>
    <row r="38" spans="2:2" x14ac:dyDescent="0.3">
      <c r="B38" s="9"/>
    </row>
    <row r="39" spans="2:2" x14ac:dyDescent="0.3">
      <c r="B39" s="9"/>
    </row>
    <row r="40" spans="2:2" x14ac:dyDescent="0.3">
      <c r="B40" s="9"/>
    </row>
    <row r="41" spans="2:2" x14ac:dyDescent="0.3">
      <c r="B41" s="9"/>
    </row>
    <row r="42" spans="2:2" x14ac:dyDescent="0.3">
      <c r="B42" s="9"/>
    </row>
    <row r="43" spans="2:2" x14ac:dyDescent="0.3">
      <c r="B43" s="9"/>
    </row>
    <row r="44" spans="2:2" x14ac:dyDescent="0.3">
      <c r="B44" s="9"/>
    </row>
    <row r="45" spans="2:2" x14ac:dyDescent="0.3">
      <c r="B45" s="9"/>
    </row>
    <row r="46" spans="2:2" x14ac:dyDescent="0.3">
      <c r="B46" s="9"/>
    </row>
    <row r="47" spans="2:2" x14ac:dyDescent="0.3">
      <c r="B47" s="9"/>
    </row>
    <row r="48" spans="2:2" x14ac:dyDescent="0.3">
      <c r="B48" s="9"/>
    </row>
    <row r="49" spans="2:2" x14ac:dyDescent="0.3">
      <c r="B49" s="9"/>
    </row>
    <row r="50" spans="2:2" x14ac:dyDescent="0.3">
      <c r="B50" s="9"/>
    </row>
  </sheetData>
  <mergeCells count="2">
    <mergeCell ref="A4:B4"/>
    <mergeCell ref="A1:B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3D1ED1A-A7B5-4A26-A3C8-A2333C68C54C}">
          <x14:formula1>
            <xm:f>misc!$N$1:$N$2</xm:f>
          </x14:formula1>
          <xm:sqref>B7:B9</xm:sqref>
        </x14:dataValidation>
        <x14:dataValidation type="list" allowBlank="1" showInputMessage="1" showErrorMessage="1" xr:uid="{07E49957-E7A0-4D58-B031-DA26ADE3034B}">
          <x14:formula1>
            <xm:f>misc!$C$2:$C$22</xm:f>
          </x14:formula1>
          <xm:sqref>A16:A50</xm:sqref>
        </x14:dataValidation>
        <x14:dataValidation type="list" allowBlank="1" showInputMessage="1" showErrorMessage="1" xr:uid="{20BB3543-0760-4C48-8F8B-97F1F7927D65}">
          <x14:formula1>
            <xm:f>misc!$F$2:$F$3</xm:f>
          </x14:formula1>
          <xm:sqref>B10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workbookViewId="0">
      <selection activeCell="D24" sqref="D24"/>
    </sheetView>
  </sheetViews>
  <sheetFormatPr defaultRowHeight="14.4" x14ac:dyDescent="0.3"/>
  <cols>
    <col min="1" max="1" width="19.33203125" customWidth="1"/>
    <col min="2" max="2" width="25.88671875" customWidth="1"/>
    <col min="3" max="3" width="9.88671875" customWidth="1"/>
    <col min="4" max="4" width="43.44140625" customWidth="1"/>
    <col min="5" max="5" width="11.6640625" customWidth="1"/>
    <col min="6" max="6" width="7.44140625" customWidth="1"/>
    <col min="7" max="7" width="33.6640625" style="3" customWidth="1"/>
    <col min="8" max="8" width="7.88671875" style="23" customWidth="1"/>
    <col min="9" max="10" width="6.5546875" style="23" customWidth="1"/>
    <col min="11" max="11" width="26" style="3" customWidth="1"/>
  </cols>
  <sheetData>
    <row r="1" spans="1:11" x14ac:dyDescent="0.3">
      <c r="A1" s="1" t="s">
        <v>0</v>
      </c>
      <c r="B1" t="s">
        <v>106</v>
      </c>
      <c r="G1" s="11"/>
      <c r="H1" s="21"/>
      <c r="I1" s="21"/>
      <c r="J1" s="21"/>
      <c r="K1" s="11"/>
    </row>
    <row r="2" spans="1:11" x14ac:dyDescent="0.3">
      <c r="A2" s="1" t="s">
        <v>15</v>
      </c>
      <c r="B2" t="s">
        <v>17</v>
      </c>
      <c r="G2" s="11"/>
      <c r="H2" s="21"/>
      <c r="I2" s="21"/>
      <c r="J2" s="21"/>
      <c r="K2" s="11"/>
    </row>
    <row r="3" spans="1:11" x14ac:dyDescent="0.3">
      <c r="A3" s="1" t="s">
        <v>51</v>
      </c>
      <c r="B3" s="4">
        <v>0</v>
      </c>
      <c r="C3" s="1" t="s">
        <v>25</v>
      </c>
      <c r="G3" s="11"/>
      <c r="H3" s="21"/>
      <c r="I3" s="21"/>
      <c r="J3" s="21"/>
      <c r="K3" s="11"/>
    </row>
    <row r="4" spans="1:11" x14ac:dyDescent="0.3">
      <c r="A4" s="1" t="s">
        <v>20</v>
      </c>
      <c r="B4" s="4" t="s">
        <v>49</v>
      </c>
      <c r="G4" s="11"/>
      <c r="H4" s="21"/>
      <c r="I4" s="21"/>
      <c r="J4" s="21"/>
      <c r="K4" s="11"/>
    </row>
    <row r="5" spans="1:11" x14ac:dyDescent="0.3">
      <c r="A5" s="1" t="s">
        <v>24</v>
      </c>
      <c r="B5" s="4">
        <v>0</v>
      </c>
      <c r="C5" s="1" t="s">
        <v>26</v>
      </c>
      <c r="G5" s="20" t="s">
        <v>48</v>
      </c>
      <c r="H5" s="20"/>
      <c r="I5" s="20"/>
      <c r="J5" s="20"/>
      <c r="K5" s="20"/>
    </row>
    <row r="6" spans="1:11" x14ac:dyDescent="0.3">
      <c r="A6" s="1" t="s">
        <v>27</v>
      </c>
      <c r="B6" s="1" t="s">
        <v>28</v>
      </c>
      <c r="C6" s="1" t="s">
        <v>117</v>
      </c>
      <c r="D6" s="1" t="s">
        <v>29</v>
      </c>
      <c r="E6" s="1"/>
      <c r="G6" s="2" t="s">
        <v>47</v>
      </c>
      <c r="H6" s="22" t="s">
        <v>119</v>
      </c>
      <c r="I6" s="22" t="s">
        <v>46</v>
      </c>
      <c r="J6" s="22" t="s">
        <v>120</v>
      </c>
      <c r="K6" s="14" t="s">
        <v>110</v>
      </c>
    </row>
    <row r="7" spans="1:11" x14ac:dyDescent="0.3">
      <c r="A7" t="s">
        <v>4</v>
      </c>
      <c r="B7" t="s">
        <v>50</v>
      </c>
      <c r="C7">
        <v>10</v>
      </c>
      <c r="D7" t="str">
        <f>CONCATENATE(B7,"  variable")</f>
        <v>Battery_Count  variable</v>
      </c>
      <c r="G7" s="13" t="str">
        <f>CONCATENATE("SVAR_",$B$4,"_",B7,"_",VLOOKUP(A7,misc!$C$2:$E$15,3,FALSE))</f>
        <v>SVAR_BMS_Battery_Count_u8</v>
      </c>
      <c r="H7" s="23">
        <f>(VLOOKUP(A7, misc!$C$2:$D$28, 2, FALSE))</f>
        <v>1</v>
      </c>
      <c r="I7" s="23">
        <f>H7* C7</f>
        <v>10</v>
      </c>
      <c r="J7" s="23">
        <f>C7</f>
        <v>10</v>
      </c>
      <c r="K7" s="3" t="str">
        <f>D7</f>
        <v>Battery_Count  variable</v>
      </c>
    </row>
    <row r="8" spans="1:11" x14ac:dyDescent="0.3">
      <c r="A8" t="s">
        <v>4</v>
      </c>
      <c r="B8" t="s">
        <v>53</v>
      </c>
      <c r="C8">
        <v>1</v>
      </c>
      <c r="D8" t="str">
        <f>CONCATENATE(B8,"  variable")</f>
        <v>UnderVolt_Threshold  variable</v>
      </c>
      <c r="G8" s="3" t="str">
        <f>CONCATENATE("SVAR_",$B$4,"_",B8,"_",VLOOKUP(A8,misc!$C$2:$E$15,3,FALSE))</f>
        <v>SVAR_BMS_UnderVolt_Threshold_u8</v>
      </c>
      <c r="H8" s="23">
        <f>(VLOOKUP(A8, misc!$C$2:$D$28, 2, FALSE))</f>
        <v>1</v>
      </c>
      <c r="I8" s="23">
        <f t="shared" ref="I8:I41" si="0">H8* C8</f>
        <v>1</v>
      </c>
      <c r="J8" s="23">
        <f t="shared" ref="J8:J41" si="1">C8</f>
        <v>1</v>
      </c>
      <c r="K8" s="3" t="str">
        <f t="shared" ref="K8:K41" si="2">D8</f>
        <v>UnderVolt_Threshold  variable</v>
      </c>
    </row>
    <row r="9" spans="1:11" x14ac:dyDescent="0.3">
      <c r="A9" t="s">
        <v>4</v>
      </c>
      <c r="B9" t="s">
        <v>52</v>
      </c>
      <c r="C9">
        <v>1</v>
      </c>
      <c r="D9" t="str">
        <f>CONCATENATE(B9,"  variable")</f>
        <v>OverVolt_Threshold  variable</v>
      </c>
      <c r="G9" s="3" t="str">
        <f>CONCATENATE("SVAR_",$B$4,"_",B9,"_",VLOOKUP(A9,misc!$C$2:$E$15,3,FALSE))</f>
        <v>SVAR_BMS_OverVolt_Threshold_u8</v>
      </c>
      <c r="H9" s="23">
        <f>(VLOOKUP(A9, misc!$C$2:$D$28, 2, FALSE))</f>
        <v>1</v>
      </c>
      <c r="I9" s="23">
        <f t="shared" si="0"/>
        <v>1</v>
      </c>
      <c r="J9" s="23">
        <f t="shared" si="1"/>
        <v>1</v>
      </c>
      <c r="K9" s="3" t="str">
        <f t="shared" si="2"/>
        <v>OverVolt_Threshold  variable</v>
      </c>
    </row>
    <row r="10" spans="1:11" x14ac:dyDescent="0.3">
      <c r="A10" t="s">
        <v>7</v>
      </c>
      <c r="B10" t="s">
        <v>74</v>
      </c>
      <c r="C10">
        <v>1</v>
      </c>
      <c r="D10" t="str">
        <f>CONCATENATE(B10,"  variable")</f>
        <v>Module_Count_1  variable</v>
      </c>
      <c r="G10" s="3" t="str">
        <f>CONCATENATE("SVAR_",$B$4,"_",B10,"_",VLOOKUP(A10,misc!$C$2:$E$15,3,FALSE))</f>
        <v>SVAR_BMS_Module_Count_1_s16</v>
      </c>
      <c r="H10" s="23">
        <f>(VLOOKUP(A10, misc!$C$2:$D$28, 2, FALSE))</f>
        <v>2</v>
      </c>
      <c r="I10" s="23">
        <f t="shared" si="0"/>
        <v>2</v>
      </c>
      <c r="J10" s="23">
        <f t="shared" si="1"/>
        <v>1</v>
      </c>
      <c r="K10" s="3" t="str">
        <f t="shared" si="2"/>
        <v>Module_Count_1  variable</v>
      </c>
    </row>
    <row r="11" spans="1:11" x14ac:dyDescent="0.3">
      <c r="A11" t="s">
        <v>4</v>
      </c>
      <c r="B11" t="s">
        <v>75</v>
      </c>
      <c r="C11">
        <v>1</v>
      </c>
      <c r="D11" t="str">
        <f>CONCATENATE(B11,"  variable")</f>
        <v>Module_Count_2  variable</v>
      </c>
      <c r="G11" s="3" t="str">
        <f>CONCATENATE("SVAR_",$B$4,"_",B11,"_",VLOOKUP(A11,misc!$C$2:$E$15,3,FALSE))</f>
        <v>SVAR_BMS_Module_Count_2_u8</v>
      </c>
      <c r="H11" s="23">
        <f>(VLOOKUP(A11, misc!$C$2:$D$28, 2, FALSE))</f>
        <v>1</v>
      </c>
      <c r="I11" s="23">
        <f t="shared" si="0"/>
        <v>1</v>
      </c>
      <c r="J11" s="23">
        <f t="shared" si="1"/>
        <v>1</v>
      </c>
      <c r="K11" s="3" t="str">
        <f t="shared" si="2"/>
        <v>Module_Count_2  variable</v>
      </c>
    </row>
    <row r="12" spans="1:11" x14ac:dyDescent="0.3">
      <c r="A12" t="s">
        <v>4</v>
      </c>
      <c r="B12" t="s">
        <v>76</v>
      </c>
      <c r="C12">
        <v>1</v>
      </c>
      <c r="D12" t="str">
        <f>CONCATENATE(B12,"  variable")</f>
        <v>Module_Count_3  variable</v>
      </c>
      <c r="G12" s="3" t="str">
        <f>CONCATENATE("SVAR_",$B$4,"_",B12,"_",VLOOKUP(A12,misc!$C$2:$E$15,3,FALSE))</f>
        <v>SVAR_BMS_Module_Count_3_u8</v>
      </c>
      <c r="H12" s="23">
        <f>(VLOOKUP(A12, misc!$C$2:$D$28, 2, FALSE))</f>
        <v>1</v>
      </c>
      <c r="I12" s="23">
        <f t="shared" si="0"/>
        <v>1</v>
      </c>
      <c r="J12" s="23">
        <f t="shared" si="1"/>
        <v>1</v>
      </c>
      <c r="K12" s="3" t="str">
        <f t="shared" si="2"/>
        <v>Module_Count_3  variable</v>
      </c>
    </row>
    <row r="13" spans="1:11" x14ac:dyDescent="0.3">
      <c r="A13" t="s">
        <v>4</v>
      </c>
      <c r="B13" t="s">
        <v>77</v>
      </c>
      <c r="C13">
        <v>1</v>
      </c>
      <c r="D13" t="str">
        <f>CONCATENATE(B13,"  variable")</f>
        <v>Module_Count_4  variable</v>
      </c>
      <c r="G13" s="3" t="str">
        <f>CONCATENATE("SVAR_",$B$4,"_",B13,"_",VLOOKUP(A13,misc!$C$2:$E$15,3,FALSE))</f>
        <v>SVAR_BMS_Module_Count_4_u8</v>
      </c>
      <c r="H13" s="23">
        <f>(VLOOKUP(A13, misc!$C$2:$D$28, 2, FALSE))</f>
        <v>1</v>
      </c>
      <c r="I13" s="23">
        <f t="shared" si="0"/>
        <v>1</v>
      </c>
      <c r="J13" s="23">
        <f t="shared" si="1"/>
        <v>1</v>
      </c>
      <c r="K13" s="3" t="str">
        <f t="shared" si="2"/>
        <v>Module_Count_4  variable</v>
      </c>
    </row>
    <row r="14" spans="1:11" x14ac:dyDescent="0.3">
      <c r="A14" t="s">
        <v>4</v>
      </c>
      <c r="B14" t="s">
        <v>78</v>
      </c>
      <c r="C14">
        <v>1</v>
      </c>
      <c r="D14" t="str">
        <f>CONCATENATE(B14,"  variable")</f>
        <v>Module_Count_5  variable</v>
      </c>
      <c r="G14" s="3" t="str">
        <f>CONCATENATE("SVAR_",$B$4,"_",B14,"_",VLOOKUP(A14,misc!$C$2:$E$15,3,FALSE))</f>
        <v>SVAR_BMS_Module_Count_5_u8</v>
      </c>
      <c r="H14" s="23">
        <f>(VLOOKUP(A14, misc!$C$2:$D$28, 2, FALSE))</f>
        <v>1</v>
      </c>
      <c r="I14" s="23">
        <f t="shared" si="0"/>
        <v>1</v>
      </c>
      <c r="J14" s="23">
        <f t="shared" si="1"/>
        <v>1</v>
      </c>
      <c r="K14" s="3" t="str">
        <f t="shared" si="2"/>
        <v>Module_Count_5  variable</v>
      </c>
    </row>
    <row r="15" spans="1:11" x14ac:dyDescent="0.3">
      <c r="A15" t="s">
        <v>8</v>
      </c>
      <c r="B15" t="s">
        <v>79</v>
      </c>
      <c r="C15">
        <v>1</v>
      </c>
      <c r="D15" t="str">
        <f>CONCATENATE(B15,"  variable")</f>
        <v>Module_Count_6  variable</v>
      </c>
      <c r="G15" s="3" t="str">
        <f>CONCATENATE("SVAR_",$B$4,"_",B15,"_",VLOOKUP(A15,misc!$C$2:$E$15,3,FALSE))</f>
        <v>SVAR_BMS_Module_Count_6_u32</v>
      </c>
      <c r="H15" s="23">
        <f>(VLOOKUP(A15, misc!$C$2:$D$28, 2, FALSE))</f>
        <v>4</v>
      </c>
      <c r="I15" s="23">
        <f t="shared" si="0"/>
        <v>4</v>
      </c>
      <c r="J15" s="23">
        <f t="shared" si="1"/>
        <v>1</v>
      </c>
      <c r="K15" s="3" t="str">
        <f t="shared" si="2"/>
        <v>Module_Count_6  variable</v>
      </c>
    </row>
    <row r="16" spans="1:11" x14ac:dyDescent="0.3">
      <c r="A16" t="s">
        <v>4</v>
      </c>
      <c r="B16" t="s">
        <v>80</v>
      </c>
      <c r="C16">
        <v>1</v>
      </c>
      <c r="D16" t="str">
        <f>CONCATENATE(B16,"  variable")</f>
        <v>Module_Count_7  variable</v>
      </c>
      <c r="G16" s="3" t="str">
        <f>CONCATENATE("SVAR_",$B$4,"_",B16,"_",VLOOKUP(A16,misc!$C$2:$E$15,3,FALSE))</f>
        <v>SVAR_BMS_Module_Count_7_u8</v>
      </c>
      <c r="H16" s="23">
        <f>(VLOOKUP(A16, misc!$C$2:$D$28, 2, FALSE))</f>
        <v>1</v>
      </c>
      <c r="I16" s="23">
        <f t="shared" si="0"/>
        <v>1</v>
      </c>
      <c r="J16" s="23">
        <f t="shared" si="1"/>
        <v>1</v>
      </c>
      <c r="K16" s="3" t="str">
        <f t="shared" si="2"/>
        <v>Module_Count_7  variable</v>
      </c>
    </row>
    <row r="17" spans="1:11" x14ac:dyDescent="0.3">
      <c r="A17" t="s">
        <v>4</v>
      </c>
      <c r="B17" t="s">
        <v>81</v>
      </c>
      <c r="C17">
        <v>1</v>
      </c>
      <c r="D17" t="str">
        <f>CONCATENATE(B17,"  variable")</f>
        <v>Module_Count_8  variable</v>
      </c>
      <c r="G17" s="3" t="str">
        <f>CONCATENATE("SVAR_",$B$4,"_",B17,"_",VLOOKUP(A17,misc!$C$2:$E$15,3,FALSE))</f>
        <v>SVAR_BMS_Module_Count_8_u8</v>
      </c>
      <c r="H17" s="23">
        <f>(VLOOKUP(A17, misc!$C$2:$D$28, 2, FALSE))</f>
        <v>1</v>
      </c>
      <c r="I17" s="23">
        <f t="shared" si="0"/>
        <v>1</v>
      </c>
      <c r="J17" s="23">
        <f t="shared" si="1"/>
        <v>1</v>
      </c>
      <c r="K17" s="3" t="str">
        <f t="shared" si="2"/>
        <v>Module_Count_8  variable</v>
      </c>
    </row>
    <row r="18" spans="1:11" x14ac:dyDescent="0.3">
      <c r="A18" t="s">
        <v>8</v>
      </c>
      <c r="B18" t="s">
        <v>82</v>
      </c>
      <c r="C18">
        <v>1</v>
      </c>
      <c r="D18" t="str">
        <f>CONCATENATE(B18,"  variable")</f>
        <v>Module_Count_9  variable</v>
      </c>
      <c r="G18" s="3" t="str">
        <f>CONCATENATE("SVAR_",$B$4,"_",B18,"_",VLOOKUP(A18,misc!$C$2:$E$15,3,FALSE))</f>
        <v>SVAR_BMS_Module_Count_9_u32</v>
      </c>
      <c r="H18" s="23">
        <f>(VLOOKUP(A18, misc!$C$2:$D$28, 2, FALSE))</f>
        <v>4</v>
      </c>
      <c r="I18" s="23">
        <f t="shared" si="0"/>
        <v>4</v>
      </c>
      <c r="J18" s="23">
        <f t="shared" si="1"/>
        <v>1</v>
      </c>
      <c r="K18" s="3" t="str">
        <f t="shared" si="2"/>
        <v>Module_Count_9  variable</v>
      </c>
    </row>
    <row r="19" spans="1:11" x14ac:dyDescent="0.3">
      <c r="A19" t="s">
        <v>4</v>
      </c>
      <c r="B19" t="s">
        <v>83</v>
      </c>
      <c r="C19">
        <v>2</v>
      </c>
      <c r="D19" t="str">
        <f>CONCATENATE(B19,"  variable")</f>
        <v>Module_Count_10  variable</v>
      </c>
      <c r="G19" s="3" t="str">
        <f>CONCATENATE("SVAR_",$B$4,"_",B19,"_",VLOOKUP(A19,misc!$C$2:$E$15,3,FALSE))</f>
        <v>SVAR_BMS_Module_Count_10_u8</v>
      </c>
      <c r="H19" s="23">
        <f>(VLOOKUP(A19, misc!$C$2:$D$28, 2, FALSE))</f>
        <v>1</v>
      </c>
      <c r="I19" s="23">
        <f t="shared" si="0"/>
        <v>2</v>
      </c>
      <c r="J19" s="23">
        <f t="shared" si="1"/>
        <v>2</v>
      </c>
      <c r="K19" s="3" t="str">
        <f t="shared" si="2"/>
        <v>Module_Count_10  variable</v>
      </c>
    </row>
    <row r="20" spans="1:11" x14ac:dyDescent="0.3">
      <c r="A20" t="s">
        <v>10</v>
      </c>
      <c r="B20" t="s">
        <v>84</v>
      </c>
      <c r="C20">
        <v>1</v>
      </c>
      <c r="D20" t="str">
        <f>CONCATENATE(B20,"  variable")</f>
        <v>Module_Count_11  variable</v>
      </c>
      <c r="G20" s="3" t="str">
        <f>CONCATENATE("SVAR_",$B$4,"_",B20,"_",VLOOKUP(A20,misc!$C$2:$E$15,3,FALSE))</f>
        <v>SVAR_BMS_Module_Count_11_u64</v>
      </c>
      <c r="H20" s="23">
        <f>(VLOOKUP(A20, misc!$C$2:$D$28, 2, FALSE))</f>
        <v>8</v>
      </c>
      <c r="I20" s="23">
        <f t="shared" si="0"/>
        <v>8</v>
      </c>
      <c r="J20" s="23">
        <f t="shared" si="1"/>
        <v>1</v>
      </c>
      <c r="K20" s="3" t="str">
        <f t="shared" si="2"/>
        <v>Module_Count_11  variable</v>
      </c>
    </row>
    <row r="21" spans="1:11" x14ac:dyDescent="0.3">
      <c r="A21" t="s">
        <v>4</v>
      </c>
      <c r="B21" t="s">
        <v>85</v>
      </c>
      <c r="C21">
        <v>1</v>
      </c>
      <c r="D21" t="str">
        <f>CONCATENATE(B21,"  variable")</f>
        <v>Module_Count_12  variable</v>
      </c>
      <c r="G21" s="3" t="str">
        <f>CONCATENATE("SVAR_",$B$4,"_",B21,"_",VLOOKUP(A21,misc!$C$2:$E$15,3,FALSE))</f>
        <v>SVAR_BMS_Module_Count_12_u8</v>
      </c>
      <c r="H21" s="23">
        <f>(VLOOKUP(A21, misc!$C$2:$D$28, 2, FALSE))</f>
        <v>1</v>
      </c>
      <c r="I21" s="23">
        <f t="shared" si="0"/>
        <v>1</v>
      </c>
      <c r="J21" s="23">
        <f t="shared" si="1"/>
        <v>1</v>
      </c>
      <c r="K21" s="3" t="str">
        <f t="shared" si="2"/>
        <v>Module_Count_12  variable</v>
      </c>
    </row>
    <row r="22" spans="1:11" x14ac:dyDescent="0.3">
      <c r="A22" t="s">
        <v>4</v>
      </c>
      <c r="B22" t="s">
        <v>86</v>
      </c>
      <c r="C22">
        <v>1</v>
      </c>
      <c r="D22" t="str">
        <f>CONCATENATE(B22,"  variable")</f>
        <v>Module_Count_13  variable</v>
      </c>
      <c r="G22" s="3" t="str">
        <f>CONCATENATE("SVAR_",$B$4,"_",B22,"_",VLOOKUP(A22,misc!$C$2:$E$15,3,FALSE))</f>
        <v>SVAR_BMS_Module_Count_13_u8</v>
      </c>
      <c r="H22" s="23">
        <f>(VLOOKUP(A22, misc!$C$2:$D$28, 2, FALSE))</f>
        <v>1</v>
      </c>
      <c r="I22" s="23">
        <f t="shared" si="0"/>
        <v>1</v>
      </c>
      <c r="J22" s="23">
        <f t="shared" si="1"/>
        <v>1</v>
      </c>
      <c r="K22" s="3" t="str">
        <f t="shared" si="2"/>
        <v>Module_Count_13  variable</v>
      </c>
    </row>
    <row r="23" spans="1:11" x14ac:dyDescent="0.3">
      <c r="A23" t="s">
        <v>22</v>
      </c>
      <c r="B23" t="s">
        <v>87</v>
      </c>
      <c r="C23">
        <v>1</v>
      </c>
      <c r="D23" t="str">
        <f>CONCATENATE(B23,"  variable")</f>
        <v>Module_Count_14  variable</v>
      </c>
      <c r="G23" s="3" t="str">
        <f>CONCATENATE("SVAR_",$B$4,"_",B23,"_",VLOOKUP(A23,misc!$C$2:$E$15,3,FALSE))</f>
        <v>SVAR_BMS_Module_Count_14_b</v>
      </c>
      <c r="H23" s="23">
        <f>(VLOOKUP(A23, misc!$C$2:$D$28, 2, FALSE))</f>
        <v>1</v>
      </c>
      <c r="I23" s="23">
        <f t="shared" si="0"/>
        <v>1</v>
      </c>
      <c r="J23" s="23">
        <f t="shared" si="1"/>
        <v>1</v>
      </c>
      <c r="K23" s="3" t="str">
        <f t="shared" si="2"/>
        <v>Module_Count_14  variable</v>
      </c>
    </row>
    <row r="24" spans="1:11" x14ac:dyDescent="0.3">
      <c r="A24" t="s">
        <v>22</v>
      </c>
      <c r="B24" t="s">
        <v>88</v>
      </c>
      <c r="C24">
        <v>1</v>
      </c>
      <c r="D24" t="str">
        <f>CONCATENATE(B24,"  variable")</f>
        <v>Module_Count_15  variable</v>
      </c>
      <c r="G24" s="3" t="str">
        <f>CONCATENATE("SVAR_",$B$4,"_",B24,"_",VLOOKUP(A24,misc!$C$2:$E$15,3,FALSE))</f>
        <v>SVAR_BMS_Module_Count_15_b</v>
      </c>
      <c r="H24" s="23">
        <f>(VLOOKUP(A24, misc!$C$2:$D$28, 2, FALSE))</f>
        <v>1</v>
      </c>
      <c r="I24" s="23">
        <f t="shared" si="0"/>
        <v>1</v>
      </c>
      <c r="J24" s="23">
        <f t="shared" si="1"/>
        <v>1</v>
      </c>
      <c r="K24" s="3" t="str">
        <f t="shared" si="2"/>
        <v>Module_Count_15  variable</v>
      </c>
    </row>
    <row r="25" spans="1:11" x14ac:dyDescent="0.3">
      <c r="A25" t="s">
        <v>4</v>
      </c>
      <c r="B25" t="s">
        <v>89</v>
      </c>
      <c r="C25">
        <v>1</v>
      </c>
      <c r="D25" t="str">
        <f>CONCATENATE(B25,"  variable")</f>
        <v>Module_Count_16  variable</v>
      </c>
      <c r="G25" s="3" t="str">
        <f>CONCATENATE("SVAR_",$B$4,"_",B25,"_",VLOOKUP(A25,misc!$C$2:$E$15,3,FALSE))</f>
        <v>SVAR_BMS_Module_Count_16_u8</v>
      </c>
      <c r="H25" s="23">
        <f>(VLOOKUP(A25, misc!$C$2:$D$28, 2, FALSE))</f>
        <v>1</v>
      </c>
      <c r="I25" s="23">
        <f t="shared" si="0"/>
        <v>1</v>
      </c>
      <c r="J25" s="23">
        <f t="shared" si="1"/>
        <v>1</v>
      </c>
      <c r="K25" s="3" t="str">
        <f t="shared" si="2"/>
        <v>Module_Count_16  variable</v>
      </c>
    </row>
    <row r="26" spans="1:11" x14ac:dyDescent="0.3">
      <c r="A26" t="s">
        <v>4</v>
      </c>
      <c r="B26" t="s">
        <v>90</v>
      </c>
      <c r="C26">
        <v>1</v>
      </c>
      <c r="D26" t="str">
        <f>CONCATENATE(B26,"  variable")</f>
        <v>Module_Count_17  variable</v>
      </c>
      <c r="G26" s="3" t="str">
        <f>CONCATENATE("SVAR_",$B$4,"_",B26,"_",VLOOKUP(A26,misc!$C$2:$E$15,3,FALSE))</f>
        <v>SVAR_BMS_Module_Count_17_u8</v>
      </c>
      <c r="H26" s="23">
        <f>(VLOOKUP(A26, misc!$C$2:$D$28, 2, FALSE))</f>
        <v>1</v>
      </c>
      <c r="I26" s="23">
        <f t="shared" si="0"/>
        <v>1</v>
      </c>
      <c r="J26" s="23">
        <f t="shared" si="1"/>
        <v>1</v>
      </c>
      <c r="K26" s="3" t="str">
        <f t="shared" si="2"/>
        <v>Module_Count_17  variable</v>
      </c>
    </row>
    <row r="27" spans="1:11" x14ac:dyDescent="0.3">
      <c r="A27" t="s">
        <v>4</v>
      </c>
      <c r="B27" t="s">
        <v>91</v>
      </c>
      <c r="C27">
        <v>1</v>
      </c>
      <c r="D27" t="str">
        <f>CONCATENATE(B27,"  variable")</f>
        <v>Module_Count_18  variable</v>
      </c>
      <c r="G27" s="3" t="str">
        <f>CONCATENATE("SVAR_",$B$4,"_",B27,"_",VLOOKUP(A27,misc!$C$2:$E$15,3,FALSE))</f>
        <v>SVAR_BMS_Module_Count_18_u8</v>
      </c>
      <c r="H27" s="23">
        <f>(VLOOKUP(A27, misc!$C$2:$D$28, 2, FALSE))</f>
        <v>1</v>
      </c>
      <c r="I27" s="23">
        <f t="shared" si="0"/>
        <v>1</v>
      </c>
      <c r="J27" s="23">
        <f t="shared" si="1"/>
        <v>1</v>
      </c>
      <c r="K27" s="3" t="str">
        <f t="shared" si="2"/>
        <v>Module_Count_18  variable</v>
      </c>
    </row>
    <row r="28" spans="1:11" x14ac:dyDescent="0.3">
      <c r="A28" t="s">
        <v>4</v>
      </c>
      <c r="B28" t="s">
        <v>92</v>
      </c>
      <c r="C28">
        <v>1</v>
      </c>
      <c r="D28" t="str">
        <f>CONCATENATE(B28,"  variable")</f>
        <v>Module_Count_19  variable</v>
      </c>
      <c r="G28" s="3" t="str">
        <f>CONCATENATE("SVAR_",$B$4,"_",B28,"_",VLOOKUP(A28,misc!$C$2:$E$15,3,FALSE))</f>
        <v>SVAR_BMS_Module_Count_19_u8</v>
      </c>
      <c r="H28" s="23">
        <f>(VLOOKUP(A28, misc!$C$2:$D$28, 2, FALSE))</f>
        <v>1</v>
      </c>
      <c r="I28" s="23">
        <f t="shared" si="0"/>
        <v>1</v>
      </c>
      <c r="J28" s="23">
        <f t="shared" si="1"/>
        <v>1</v>
      </c>
      <c r="K28" s="3" t="str">
        <f t="shared" si="2"/>
        <v>Module_Count_19  variable</v>
      </c>
    </row>
    <row r="29" spans="1:11" x14ac:dyDescent="0.3">
      <c r="A29" t="s">
        <v>4</v>
      </c>
      <c r="B29" t="s">
        <v>93</v>
      </c>
      <c r="C29">
        <v>1</v>
      </c>
      <c r="D29" t="str">
        <f>CONCATENATE(B29,"  variable")</f>
        <v>Module_Count_20  variable</v>
      </c>
      <c r="G29" s="3" t="str">
        <f>CONCATENATE("SVAR_",$B$4,"_",B29,"_",VLOOKUP(A29,misc!$C$2:$E$15,3,FALSE))</f>
        <v>SVAR_BMS_Module_Count_20_u8</v>
      </c>
      <c r="H29" s="23">
        <f>(VLOOKUP(A29, misc!$C$2:$D$28, 2, FALSE))</f>
        <v>1</v>
      </c>
      <c r="I29" s="23">
        <f t="shared" si="0"/>
        <v>1</v>
      </c>
      <c r="J29" s="23">
        <f t="shared" si="1"/>
        <v>1</v>
      </c>
      <c r="K29" s="3" t="str">
        <f t="shared" si="2"/>
        <v>Module_Count_20  variable</v>
      </c>
    </row>
    <row r="30" spans="1:11" x14ac:dyDescent="0.3">
      <c r="A30" t="s">
        <v>23</v>
      </c>
      <c r="B30" t="s">
        <v>94</v>
      </c>
      <c r="C30">
        <v>1</v>
      </c>
      <c r="D30" t="str">
        <f>CONCATENATE(B30,"  variable")</f>
        <v>Module_Count_21  variable</v>
      </c>
      <c r="G30" s="3" t="str">
        <f>CONCATENATE("SVAR_",$B$4,"_",B30,"_",VLOOKUP(A30,misc!$C$2:$E$15,3,FALSE))</f>
        <v>SVAR_BMS_Module_Count_21_add</v>
      </c>
      <c r="H30" s="23">
        <f>(VLOOKUP(A30, misc!$C$2:$D$28, 2, FALSE))</f>
        <v>4</v>
      </c>
      <c r="I30" s="23">
        <f t="shared" si="0"/>
        <v>4</v>
      </c>
      <c r="J30" s="23">
        <f t="shared" si="1"/>
        <v>1</v>
      </c>
      <c r="K30" s="3" t="str">
        <f t="shared" si="2"/>
        <v>Module_Count_21  variable</v>
      </c>
    </row>
    <row r="31" spans="1:11" x14ac:dyDescent="0.3">
      <c r="A31" t="s">
        <v>4</v>
      </c>
      <c r="B31" t="s">
        <v>95</v>
      </c>
      <c r="C31">
        <v>1</v>
      </c>
      <c r="D31" t="str">
        <f>CONCATENATE(B31,"  variable")</f>
        <v>Module_Count_22  variable</v>
      </c>
      <c r="G31" s="3" t="str">
        <f>CONCATENATE("SVAR_",$B$4,"_",B31,"_",VLOOKUP(A31,misc!$C$2:$E$15,3,FALSE))</f>
        <v>SVAR_BMS_Module_Count_22_u8</v>
      </c>
      <c r="H31" s="23">
        <f>(VLOOKUP(A31, misc!$C$2:$D$28, 2, FALSE))</f>
        <v>1</v>
      </c>
      <c r="I31" s="23">
        <f t="shared" si="0"/>
        <v>1</v>
      </c>
      <c r="J31" s="23">
        <f t="shared" si="1"/>
        <v>1</v>
      </c>
      <c r="K31" s="3" t="str">
        <f t="shared" si="2"/>
        <v>Module_Count_22  variable</v>
      </c>
    </row>
    <row r="32" spans="1:11" x14ac:dyDescent="0.3">
      <c r="A32" t="s">
        <v>4</v>
      </c>
      <c r="B32" t="s">
        <v>96</v>
      </c>
      <c r="C32">
        <v>1</v>
      </c>
      <c r="D32" t="str">
        <f>CONCATENATE(B32,"  variable")</f>
        <v>Module_Count_23  variable</v>
      </c>
      <c r="G32" s="3" t="str">
        <f>CONCATENATE("SVAR_",$B$4,"_",B32,"_",VLOOKUP(A32,misc!$C$2:$E$15,3,FALSE))</f>
        <v>SVAR_BMS_Module_Count_23_u8</v>
      </c>
      <c r="H32" s="23">
        <f>(VLOOKUP(A32, misc!$C$2:$D$28, 2, FALSE))</f>
        <v>1</v>
      </c>
      <c r="I32" s="23">
        <f t="shared" si="0"/>
        <v>1</v>
      </c>
      <c r="J32" s="23">
        <f t="shared" si="1"/>
        <v>1</v>
      </c>
      <c r="K32" s="3" t="str">
        <f t="shared" si="2"/>
        <v>Module_Count_23  variable</v>
      </c>
    </row>
    <row r="33" spans="1:11" x14ac:dyDescent="0.3">
      <c r="A33" t="s">
        <v>4</v>
      </c>
      <c r="B33" t="s">
        <v>97</v>
      </c>
      <c r="C33">
        <v>1</v>
      </c>
      <c r="D33" t="str">
        <f>CONCATENATE(B33,"  variable")</f>
        <v>Module_Count_24  variable</v>
      </c>
      <c r="G33" s="3" t="str">
        <f>CONCATENATE("SVAR_",$B$4,"_",B33,"_",VLOOKUP(A33,misc!$C$2:$E$15,3,FALSE))</f>
        <v>SVAR_BMS_Module_Count_24_u8</v>
      </c>
      <c r="H33" s="23">
        <f>(VLOOKUP(A33, misc!$C$2:$D$28, 2, FALSE))</f>
        <v>1</v>
      </c>
      <c r="I33" s="23">
        <f t="shared" si="0"/>
        <v>1</v>
      </c>
      <c r="J33" s="23">
        <f t="shared" si="1"/>
        <v>1</v>
      </c>
      <c r="K33" s="3" t="str">
        <f t="shared" si="2"/>
        <v>Module_Count_24  variable</v>
      </c>
    </row>
    <row r="34" spans="1:11" x14ac:dyDescent="0.3">
      <c r="A34" t="s">
        <v>4</v>
      </c>
      <c r="B34" t="s">
        <v>98</v>
      </c>
      <c r="C34">
        <v>1</v>
      </c>
      <c r="D34" t="str">
        <f>CONCATENATE(B34,"  variable")</f>
        <v>Module_Count_25  variable</v>
      </c>
      <c r="G34" s="3" t="str">
        <f>CONCATENATE("SVAR_",$B$4,"_",B34,"_",VLOOKUP(A34,misc!$C$2:$E$15,3,FALSE))</f>
        <v>SVAR_BMS_Module_Count_25_u8</v>
      </c>
      <c r="H34" s="23">
        <f>(VLOOKUP(A34, misc!$C$2:$D$28, 2, FALSE))</f>
        <v>1</v>
      </c>
      <c r="I34" s="23">
        <f t="shared" si="0"/>
        <v>1</v>
      </c>
      <c r="J34" s="23">
        <f t="shared" si="1"/>
        <v>1</v>
      </c>
      <c r="K34" s="3" t="str">
        <f t="shared" si="2"/>
        <v>Module_Count_25  variable</v>
      </c>
    </row>
    <row r="35" spans="1:11" x14ac:dyDescent="0.3">
      <c r="A35" t="s">
        <v>13</v>
      </c>
      <c r="B35" t="s">
        <v>99</v>
      </c>
      <c r="C35">
        <v>1</v>
      </c>
      <c r="D35" t="str">
        <f>CONCATENATE(B35,"  variable")</f>
        <v>Module_Count_26  variable</v>
      </c>
      <c r="G35" s="3" t="str">
        <f>CONCATENATE("SVAR_",$B$4,"_",B35,"_",VLOOKUP(A35,misc!$C$2:$E$15,3,FALSE))</f>
        <v>SVAR_BMS_Module_Count_26_f</v>
      </c>
      <c r="H35" s="23">
        <f>(VLOOKUP(A35, misc!$C$2:$D$28, 2, FALSE))</f>
        <v>4</v>
      </c>
      <c r="I35" s="23">
        <f t="shared" si="0"/>
        <v>4</v>
      </c>
      <c r="J35" s="23">
        <f t="shared" si="1"/>
        <v>1</v>
      </c>
      <c r="K35" s="3" t="str">
        <f t="shared" si="2"/>
        <v>Module_Count_26  variable</v>
      </c>
    </row>
    <row r="36" spans="1:11" x14ac:dyDescent="0.3">
      <c r="A36" t="s">
        <v>4</v>
      </c>
      <c r="B36" t="s">
        <v>100</v>
      </c>
      <c r="C36">
        <v>1</v>
      </c>
      <c r="D36" t="str">
        <f>CONCATENATE(B36,"  variable")</f>
        <v>Module_Count_27  variable</v>
      </c>
      <c r="G36" s="3" t="str">
        <f>CONCATENATE("SVAR_",$B$4,"_",B36,"_",VLOOKUP(A36,misc!$C$2:$E$15,3,FALSE))</f>
        <v>SVAR_BMS_Module_Count_27_u8</v>
      </c>
      <c r="H36" s="23">
        <f>(VLOOKUP(A36, misc!$C$2:$D$28, 2, FALSE))</f>
        <v>1</v>
      </c>
      <c r="I36" s="23">
        <f t="shared" si="0"/>
        <v>1</v>
      </c>
      <c r="J36" s="23">
        <f t="shared" si="1"/>
        <v>1</v>
      </c>
      <c r="K36" s="3" t="str">
        <f t="shared" si="2"/>
        <v>Module_Count_27  variable</v>
      </c>
    </row>
    <row r="37" spans="1:11" x14ac:dyDescent="0.3">
      <c r="A37" t="s">
        <v>4</v>
      </c>
      <c r="B37" t="s">
        <v>101</v>
      </c>
      <c r="C37">
        <v>1</v>
      </c>
      <c r="D37" t="str">
        <f>CONCATENATE(B37,"  variable")</f>
        <v>Module_Count_28  variable</v>
      </c>
      <c r="G37" s="3" t="str">
        <f>CONCATENATE("SVAR_",$B$4,"_",B37,"_",VLOOKUP(A37,misc!$C$2:$E$15,3,FALSE))</f>
        <v>SVAR_BMS_Module_Count_28_u8</v>
      </c>
      <c r="H37" s="23">
        <f>(VLOOKUP(A37, misc!$C$2:$D$28, 2, FALSE))</f>
        <v>1</v>
      </c>
      <c r="I37" s="23">
        <f t="shared" si="0"/>
        <v>1</v>
      </c>
      <c r="J37" s="23">
        <f t="shared" si="1"/>
        <v>1</v>
      </c>
      <c r="K37" s="3" t="str">
        <f t="shared" si="2"/>
        <v>Module_Count_28  variable</v>
      </c>
    </row>
    <row r="38" spans="1:11" x14ac:dyDescent="0.3">
      <c r="A38" t="s">
        <v>4</v>
      </c>
      <c r="B38" t="s">
        <v>102</v>
      </c>
      <c r="C38">
        <v>1</v>
      </c>
      <c r="D38" t="str">
        <f>CONCATENATE(B38,"  variable")</f>
        <v>Module_Count_29  variable</v>
      </c>
      <c r="G38" s="3" t="str">
        <f>CONCATENATE("SVAR_",$B$4,"_",B38,"_",VLOOKUP(A38,misc!$C$2:$E$15,3,FALSE))</f>
        <v>SVAR_BMS_Module_Count_29_u8</v>
      </c>
      <c r="H38" s="23">
        <f>(VLOOKUP(A38, misc!$C$2:$D$28, 2, FALSE))</f>
        <v>1</v>
      </c>
      <c r="I38" s="23">
        <f t="shared" si="0"/>
        <v>1</v>
      </c>
      <c r="J38" s="23">
        <f t="shared" si="1"/>
        <v>1</v>
      </c>
      <c r="K38" s="3" t="str">
        <f t="shared" si="2"/>
        <v>Module_Count_29  variable</v>
      </c>
    </row>
    <row r="39" spans="1:11" x14ac:dyDescent="0.3">
      <c r="A39" t="s">
        <v>5</v>
      </c>
      <c r="B39" t="s">
        <v>103</v>
      </c>
      <c r="C39">
        <v>1</v>
      </c>
      <c r="D39" t="str">
        <f>CONCATENATE(B39,"  variable")</f>
        <v>Module_Count_30  variable</v>
      </c>
      <c r="G39" s="3" t="str">
        <f>CONCATENATE("SVAR_",$B$4,"_",B39,"_",VLOOKUP(A39,misc!$C$2:$E$15,3,FALSE))</f>
        <v>SVAR_BMS_Module_Count_30_s8</v>
      </c>
      <c r="H39" s="23">
        <f>(VLOOKUP(A39, misc!$C$2:$D$28, 2, FALSE))</f>
        <v>1</v>
      </c>
      <c r="I39" s="23">
        <f t="shared" si="0"/>
        <v>1</v>
      </c>
      <c r="J39" s="23">
        <f t="shared" si="1"/>
        <v>1</v>
      </c>
      <c r="K39" s="3" t="str">
        <f t="shared" si="2"/>
        <v>Module_Count_30  variable</v>
      </c>
    </row>
    <row r="40" spans="1:11" x14ac:dyDescent="0.3">
      <c r="A40" t="s">
        <v>22</v>
      </c>
      <c r="B40" t="s">
        <v>104</v>
      </c>
      <c r="C40">
        <v>1</v>
      </c>
      <c r="D40" t="str">
        <f>CONCATENATE(B40,"  variable")</f>
        <v>Module_Count_31  variable</v>
      </c>
      <c r="G40" s="3" t="str">
        <f>CONCATENATE("SVAR_",$B$4,"_",B40,"_",VLOOKUP(A40,misc!$C$2:$E$15,3,FALSE))</f>
        <v>SVAR_BMS_Module_Count_31_b</v>
      </c>
      <c r="H40" s="23">
        <f>(VLOOKUP(A40, misc!$C$2:$D$28, 2, FALSE))</f>
        <v>1</v>
      </c>
      <c r="I40" s="23">
        <f t="shared" si="0"/>
        <v>1</v>
      </c>
      <c r="J40" s="23">
        <f t="shared" si="1"/>
        <v>1</v>
      </c>
      <c r="K40" s="3" t="str">
        <f t="shared" si="2"/>
        <v>Module_Count_31  variable</v>
      </c>
    </row>
    <row r="41" spans="1:11" x14ac:dyDescent="0.3">
      <c r="A41" t="s">
        <v>9</v>
      </c>
      <c r="B41" t="s">
        <v>105</v>
      </c>
      <c r="C41">
        <v>1</v>
      </c>
      <c r="D41" t="str">
        <f>CONCATENATE(B41,"  variable")</f>
        <v>Module_Count_32  variable</v>
      </c>
      <c r="G41" s="3" t="str">
        <f>CONCATENATE("SVAR_",$B$4,"_",B41,"_",VLOOKUP(A41,misc!$C$2:$E$15,3,FALSE))</f>
        <v>SVAR_BMS_Module_Count_32_s32</v>
      </c>
      <c r="H41" s="23">
        <f>(VLOOKUP(A41, misc!$C$2:$D$28, 2, FALSE))</f>
        <v>4</v>
      </c>
      <c r="I41" s="23">
        <f t="shared" si="0"/>
        <v>4</v>
      </c>
      <c r="J41" s="23">
        <f t="shared" si="1"/>
        <v>1</v>
      </c>
      <c r="K41" s="3" t="str">
        <f t="shared" si="2"/>
        <v>Module_Count_32  variable</v>
      </c>
    </row>
  </sheetData>
  <mergeCells count="1">
    <mergeCell ref="G5:K5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61E457D-E5CC-4CEC-AB3C-F9FA4D36DB6E}">
          <x14:formula1>
            <xm:f>misc!$B$2:$B$4</xm:f>
          </x14:formula1>
          <xm:sqref>B2</xm:sqref>
        </x14:dataValidation>
        <x14:dataValidation type="list" allowBlank="1" showInputMessage="1" showErrorMessage="1" xr:uid="{A2FDD24C-A17A-4C66-9E87-90BAD1E94FBB}">
          <x14:formula1>
            <xm:f>misc!$A$2:$A$13</xm:f>
          </x14:formula1>
          <xm:sqref>B1</xm:sqref>
        </x14:dataValidation>
        <x14:dataValidation type="list" allowBlank="1" showInputMessage="1" showErrorMessage="1" xr:uid="{C2837F2E-8B69-45C0-8E26-B93D8BF066F5}">
          <x14:formula1>
            <xm:f>misc!$C$2:$C$22</xm:f>
          </x14:formula1>
          <xm:sqref>A7:A41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82AE5-4023-48EB-A2B9-17D11D64AFB3}">
  <dimension ref="A1:K41"/>
  <sheetViews>
    <sheetView workbookViewId="0">
      <selection activeCell="D24" sqref="D24"/>
    </sheetView>
  </sheetViews>
  <sheetFormatPr defaultRowHeight="14.4" x14ac:dyDescent="0.3"/>
  <cols>
    <col min="1" max="1" width="19.33203125" customWidth="1"/>
    <col min="2" max="2" width="25.88671875" customWidth="1"/>
    <col min="3" max="3" width="9.88671875" customWidth="1"/>
    <col min="4" max="4" width="43.44140625" customWidth="1"/>
    <col min="5" max="5" width="11.6640625" customWidth="1"/>
    <col min="6" max="6" width="7.44140625" customWidth="1"/>
    <col min="7" max="7" width="33.6640625" style="3" customWidth="1"/>
    <col min="8" max="8" width="7.88671875" style="23" customWidth="1"/>
    <col min="9" max="10" width="6.5546875" style="23" customWidth="1"/>
    <col min="11" max="11" width="26" style="3" customWidth="1"/>
  </cols>
  <sheetData>
    <row r="1" spans="1:11" x14ac:dyDescent="0.3">
      <c r="A1" s="1" t="s">
        <v>0</v>
      </c>
      <c r="B1" t="s">
        <v>106</v>
      </c>
      <c r="G1" s="11"/>
      <c r="H1" s="21"/>
      <c r="I1" s="21"/>
      <c r="J1" s="21"/>
      <c r="K1" s="11"/>
    </row>
    <row r="2" spans="1:11" x14ac:dyDescent="0.3">
      <c r="A2" s="1" t="s">
        <v>15</v>
      </c>
      <c r="B2" t="s">
        <v>17</v>
      </c>
      <c r="G2" s="11"/>
      <c r="H2" s="21"/>
      <c r="I2" s="21"/>
      <c r="J2" s="21"/>
      <c r="K2" s="11"/>
    </row>
    <row r="3" spans="1:11" x14ac:dyDescent="0.3">
      <c r="A3" s="1" t="s">
        <v>51</v>
      </c>
      <c r="B3" s="4">
        <v>0</v>
      </c>
      <c r="C3" s="1" t="s">
        <v>25</v>
      </c>
      <c r="G3" s="11"/>
      <c r="H3" s="21"/>
      <c r="I3" s="21"/>
      <c r="J3" s="21"/>
      <c r="K3" s="11"/>
    </row>
    <row r="4" spans="1:11" x14ac:dyDescent="0.3">
      <c r="A4" s="1" t="s">
        <v>20</v>
      </c>
      <c r="B4" s="4" t="s">
        <v>49</v>
      </c>
      <c r="G4" s="11"/>
      <c r="H4" s="21"/>
      <c r="I4" s="21"/>
      <c r="J4" s="21"/>
      <c r="K4" s="11"/>
    </row>
    <row r="5" spans="1:11" x14ac:dyDescent="0.3">
      <c r="A5" s="1" t="s">
        <v>24</v>
      </c>
      <c r="B5" s="4">
        <v>0</v>
      </c>
      <c r="C5" s="1" t="s">
        <v>26</v>
      </c>
      <c r="G5" s="20" t="s">
        <v>48</v>
      </c>
      <c r="H5" s="20"/>
      <c r="I5" s="20"/>
      <c r="J5" s="20"/>
      <c r="K5" s="20"/>
    </row>
    <row r="6" spans="1:11" x14ac:dyDescent="0.3">
      <c r="A6" s="1" t="s">
        <v>27</v>
      </c>
      <c r="B6" s="1" t="s">
        <v>28</v>
      </c>
      <c r="C6" s="1" t="s">
        <v>117</v>
      </c>
      <c r="D6" s="1" t="s">
        <v>29</v>
      </c>
      <c r="E6" s="1"/>
      <c r="G6" s="2" t="s">
        <v>47</v>
      </c>
      <c r="H6" s="22" t="s">
        <v>119</v>
      </c>
      <c r="I6" s="22" t="s">
        <v>46</v>
      </c>
      <c r="J6" s="22" t="s">
        <v>120</v>
      </c>
      <c r="K6" s="14" t="s">
        <v>110</v>
      </c>
    </row>
    <row r="7" spans="1:11" x14ac:dyDescent="0.3">
      <c r="A7" t="s">
        <v>4</v>
      </c>
      <c r="B7" t="s">
        <v>50</v>
      </c>
      <c r="C7">
        <v>10</v>
      </c>
      <c r="D7" t="str">
        <f>CONCATENATE(B7,"  variable")</f>
        <v>Battery_Count  variable</v>
      </c>
      <c r="G7" s="13" t="str">
        <f>CONCATENATE("SVAR_",$B$4,"_",B7,"_",VLOOKUP(A7,misc!$C$2:$E$15,3,FALSE))</f>
        <v>SVAR_BMS_Battery_Count_u8</v>
      </c>
      <c r="H7" s="23">
        <f>(VLOOKUP(A7, misc!$C$2:$D$28, 2, FALSE))</f>
        <v>1</v>
      </c>
      <c r="I7" s="23">
        <f>H7* C7</f>
        <v>10</v>
      </c>
      <c r="J7" s="23">
        <f>C7</f>
        <v>10</v>
      </c>
      <c r="K7" s="3" t="str">
        <f>D7</f>
        <v>Battery_Count  variable</v>
      </c>
    </row>
    <row r="8" spans="1:11" x14ac:dyDescent="0.3">
      <c r="A8" t="s">
        <v>4</v>
      </c>
      <c r="B8" t="s">
        <v>53</v>
      </c>
      <c r="C8">
        <v>1</v>
      </c>
      <c r="D8" t="str">
        <f>CONCATENATE(B8,"  variable")</f>
        <v>UnderVolt_Threshold  variable</v>
      </c>
      <c r="G8" s="3" t="str">
        <f>CONCATENATE("SVAR_",$B$4,"_",B8,"_",VLOOKUP(A8,misc!$C$2:$E$15,3,FALSE))</f>
        <v>SVAR_BMS_UnderVolt_Threshold_u8</v>
      </c>
      <c r="H8" s="23">
        <f>(VLOOKUP(A8, misc!$C$2:$D$28, 2, FALSE))</f>
        <v>1</v>
      </c>
      <c r="I8" s="23">
        <f t="shared" ref="I8:I41" si="0">H8* C8</f>
        <v>1</v>
      </c>
      <c r="J8" s="23">
        <f t="shared" ref="J8:K41" si="1">C8</f>
        <v>1</v>
      </c>
      <c r="K8" s="3" t="str">
        <f t="shared" si="1"/>
        <v>UnderVolt_Threshold  variable</v>
      </c>
    </row>
    <row r="9" spans="1:11" x14ac:dyDescent="0.3">
      <c r="A9" t="s">
        <v>4</v>
      </c>
      <c r="B9" t="s">
        <v>52</v>
      </c>
      <c r="C9">
        <v>1</v>
      </c>
      <c r="D9" t="str">
        <f>CONCATENATE(B9,"  variable")</f>
        <v>OverVolt_Threshold  variable</v>
      </c>
      <c r="G9" s="3" t="str">
        <f>CONCATENATE("SVAR_",$B$4,"_",B9,"_",VLOOKUP(A9,misc!$C$2:$E$15,3,FALSE))</f>
        <v>SVAR_BMS_OverVolt_Threshold_u8</v>
      </c>
      <c r="H9" s="23">
        <f>(VLOOKUP(A9, misc!$C$2:$D$28, 2, FALSE))</f>
        <v>1</v>
      </c>
      <c r="I9" s="23">
        <f t="shared" si="0"/>
        <v>1</v>
      </c>
      <c r="J9" s="23">
        <f t="shared" si="1"/>
        <v>1</v>
      </c>
      <c r="K9" s="3" t="str">
        <f t="shared" si="1"/>
        <v>OverVolt_Threshold  variable</v>
      </c>
    </row>
    <row r="10" spans="1:11" x14ac:dyDescent="0.3">
      <c r="A10" t="s">
        <v>7</v>
      </c>
      <c r="B10" t="s">
        <v>74</v>
      </c>
      <c r="C10">
        <v>1</v>
      </c>
      <c r="D10" t="str">
        <f>CONCATENATE(B10,"  variable")</f>
        <v>Module_Count_1  variable</v>
      </c>
      <c r="G10" s="3" t="str">
        <f>CONCATENATE("SVAR_",$B$4,"_",B10,"_",VLOOKUP(A10,misc!$C$2:$E$15,3,FALSE))</f>
        <v>SVAR_BMS_Module_Count_1_s16</v>
      </c>
      <c r="H10" s="23">
        <f>(VLOOKUP(A10, misc!$C$2:$D$28, 2, FALSE))</f>
        <v>2</v>
      </c>
      <c r="I10" s="23">
        <f t="shared" si="0"/>
        <v>2</v>
      </c>
      <c r="J10" s="23">
        <f t="shared" si="1"/>
        <v>1</v>
      </c>
      <c r="K10" s="3" t="str">
        <f t="shared" si="1"/>
        <v>Module_Count_1  variable</v>
      </c>
    </row>
    <row r="11" spans="1:11" x14ac:dyDescent="0.3">
      <c r="A11" t="s">
        <v>4</v>
      </c>
      <c r="B11" t="s">
        <v>75</v>
      </c>
      <c r="C11">
        <v>1</v>
      </c>
      <c r="D11" t="str">
        <f>CONCATENATE(B11,"  variable")</f>
        <v>Module_Count_2  variable</v>
      </c>
      <c r="G11" s="3" t="str">
        <f>CONCATENATE("SVAR_",$B$4,"_",B11,"_",VLOOKUP(A11,misc!$C$2:$E$15,3,FALSE))</f>
        <v>SVAR_BMS_Module_Count_2_u8</v>
      </c>
      <c r="H11" s="23">
        <f>(VLOOKUP(A11, misc!$C$2:$D$28, 2, FALSE))</f>
        <v>1</v>
      </c>
      <c r="I11" s="23">
        <f t="shared" si="0"/>
        <v>1</v>
      </c>
      <c r="J11" s="23">
        <f t="shared" si="1"/>
        <v>1</v>
      </c>
      <c r="K11" s="3" t="str">
        <f t="shared" si="1"/>
        <v>Module_Count_2  variable</v>
      </c>
    </row>
    <row r="12" spans="1:11" x14ac:dyDescent="0.3">
      <c r="A12" t="s">
        <v>4</v>
      </c>
      <c r="B12" t="s">
        <v>76</v>
      </c>
      <c r="C12">
        <v>1</v>
      </c>
      <c r="D12" t="str">
        <f>CONCATENATE(B12,"  variable")</f>
        <v>Module_Count_3  variable</v>
      </c>
      <c r="G12" s="3" t="str">
        <f>CONCATENATE("SVAR_",$B$4,"_",B12,"_",VLOOKUP(A12,misc!$C$2:$E$15,3,FALSE))</f>
        <v>SVAR_BMS_Module_Count_3_u8</v>
      </c>
      <c r="H12" s="23">
        <f>(VLOOKUP(A12, misc!$C$2:$D$28, 2, FALSE))</f>
        <v>1</v>
      </c>
      <c r="I12" s="23">
        <f t="shared" si="0"/>
        <v>1</v>
      </c>
      <c r="J12" s="23">
        <f t="shared" si="1"/>
        <v>1</v>
      </c>
      <c r="K12" s="3" t="str">
        <f t="shared" si="1"/>
        <v>Module_Count_3  variable</v>
      </c>
    </row>
    <row r="13" spans="1:11" x14ac:dyDescent="0.3">
      <c r="A13" t="s">
        <v>4</v>
      </c>
      <c r="B13" t="s">
        <v>77</v>
      </c>
      <c r="C13">
        <v>1</v>
      </c>
      <c r="D13" t="str">
        <f>CONCATENATE(B13,"  variable")</f>
        <v>Module_Count_4  variable</v>
      </c>
      <c r="G13" s="3" t="str">
        <f>CONCATENATE("SVAR_",$B$4,"_",B13,"_",VLOOKUP(A13,misc!$C$2:$E$15,3,FALSE))</f>
        <v>SVAR_BMS_Module_Count_4_u8</v>
      </c>
      <c r="H13" s="23">
        <f>(VLOOKUP(A13, misc!$C$2:$D$28, 2, FALSE))</f>
        <v>1</v>
      </c>
      <c r="I13" s="23">
        <f t="shared" si="0"/>
        <v>1</v>
      </c>
      <c r="J13" s="23">
        <f t="shared" si="1"/>
        <v>1</v>
      </c>
      <c r="K13" s="3" t="str">
        <f t="shared" si="1"/>
        <v>Module_Count_4  variable</v>
      </c>
    </row>
    <row r="14" spans="1:11" x14ac:dyDescent="0.3">
      <c r="A14" t="s">
        <v>4</v>
      </c>
      <c r="B14" t="s">
        <v>78</v>
      </c>
      <c r="C14">
        <v>1</v>
      </c>
      <c r="D14" t="str">
        <f>CONCATENATE(B14,"  variable")</f>
        <v>Module_Count_5  variable</v>
      </c>
      <c r="G14" s="3" t="str">
        <f>CONCATENATE("SVAR_",$B$4,"_",B14,"_",VLOOKUP(A14,misc!$C$2:$E$15,3,FALSE))</f>
        <v>SVAR_BMS_Module_Count_5_u8</v>
      </c>
      <c r="H14" s="23">
        <f>(VLOOKUP(A14, misc!$C$2:$D$28, 2, FALSE))</f>
        <v>1</v>
      </c>
      <c r="I14" s="23">
        <f t="shared" si="0"/>
        <v>1</v>
      </c>
      <c r="J14" s="23">
        <f t="shared" si="1"/>
        <v>1</v>
      </c>
      <c r="K14" s="3" t="str">
        <f t="shared" si="1"/>
        <v>Module_Count_5  variable</v>
      </c>
    </row>
    <row r="15" spans="1:11" x14ac:dyDescent="0.3">
      <c r="A15" t="s">
        <v>8</v>
      </c>
      <c r="B15" t="s">
        <v>79</v>
      </c>
      <c r="C15">
        <v>1</v>
      </c>
      <c r="D15" t="str">
        <f>CONCATENATE(B15,"  variable")</f>
        <v>Module_Count_6  variable</v>
      </c>
      <c r="G15" s="3" t="str">
        <f>CONCATENATE("SVAR_",$B$4,"_",B15,"_",VLOOKUP(A15,misc!$C$2:$E$15,3,FALSE))</f>
        <v>SVAR_BMS_Module_Count_6_u32</v>
      </c>
      <c r="H15" s="23">
        <f>(VLOOKUP(A15, misc!$C$2:$D$28, 2, FALSE))</f>
        <v>4</v>
      </c>
      <c r="I15" s="23">
        <f t="shared" si="0"/>
        <v>4</v>
      </c>
      <c r="J15" s="23">
        <f t="shared" si="1"/>
        <v>1</v>
      </c>
      <c r="K15" s="3" t="str">
        <f t="shared" si="1"/>
        <v>Module_Count_6  variable</v>
      </c>
    </row>
    <row r="16" spans="1:11" x14ac:dyDescent="0.3">
      <c r="A16" t="s">
        <v>4</v>
      </c>
      <c r="B16" t="s">
        <v>80</v>
      </c>
      <c r="C16">
        <v>1</v>
      </c>
      <c r="D16" t="str">
        <f>CONCATENATE(B16,"  variable")</f>
        <v>Module_Count_7  variable</v>
      </c>
      <c r="G16" s="3" t="str">
        <f>CONCATENATE("SVAR_",$B$4,"_",B16,"_",VLOOKUP(A16,misc!$C$2:$E$15,3,FALSE))</f>
        <v>SVAR_BMS_Module_Count_7_u8</v>
      </c>
      <c r="H16" s="23">
        <f>(VLOOKUP(A16, misc!$C$2:$D$28, 2, FALSE))</f>
        <v>1</v>
      </c>
      <c r="I16" s="23">
        <f t="shared" si="0"/>
        <v>1</v>
      </c>
      <c r="J16" s="23">
        <f t="shared" si="1"/>
        <v>1</v>
      </c>
      <c r="K16" s="3" t="str">
        <f t="shared" si="1"/>
        <v>Module_Count_7  variable</v>
      </c>
    </row>
    <row r="17" spans="1:11" x14ac:dyDescent="0.3">
      <c r="A17" t="s">
        <v>4</v>
      </c>
      <c r="B17" t="s">
        <v>81</v>
      </c>
      <c r="C17">
        <v>1</v>
      </c>
      <c r="D17" t="str">
        <f>CONCATENATE(B17,"  variable")</f>
        <v>Module_Count_8  variable</v>
      </c>
      <c r="G17" s="3" t="str">
        <f>CONCATENATE("SVAR_",$B$4,"_",B17,"_",VLOOKUP(A17,misc!$C$2:$E$15,3,FALSE))</f>
        <v>SVAR_BMS_Module_Count_8_u8</v>
      </c>
      <c r="H17" s="23">
        <f>(VLOOKUP(A17, misc!$C$2:$D$28, 2, FALSE))</f>
        <v>1</v>
      </c>
      <c r="I17" s="23">
        <f t="shared" si="0"/>
        <v>1</v>
      </c>
      <c r="J17" s="23">
        <f t="shared" si="1"/>
        <v>1</v>
      </c>
      <c r="K17" s="3" t="str">
        <f t="shared" si="1"/>
        <v>Module_Count_8  variable</v>
      </c>
    </row>
    <row r="18" spans="1:11" x14ac:dyDescent="0.3">
      <c r="A18" t="s">
        <v>8</v>
      </c>
      <c r="B18" t="s">
        <v>82</v>
      </c>
      <c r="C18">
        <v>1</v>
      </c>
      <c r="D18" t="str">
        <f>CONCATENATE(B18,"  variable")</f>
        <v>Module_Count_9  variable</v>
      </c>
      <c r="G18" s="3" t="str">
        <f>CONCATENATE("SVAR_",$B$4,"_",B18,"_",VLOOKUP(A18,misc!$C$2:$E$15,3,FALSE))</f>
        <v>SVAR_BMS_Module_Count_9_u32</v>
      </c>
      <c r="H18" s="23">
        <f>(VLOOKUP(A18, misc!$C$2:$D$28, 2, FALSE))</f>
        <v>4</v>
      </c>
      <c r="I18" s="23">
        <f t="shared" si="0"/>
        <v>4</v>
      </c>
      <c r="J18" s="23">
        <f t="shared" si="1"/>
        <v>1</v>
      </c>
      <c r="K18" s="3" t="str">
        <f t="shared" si="1"/>
        <v>Module_Count_9  variable</v>
      </c>
    </row>
    <row r="19" spans="1:11" x14ac:dyDescent="0.3">
      <c r="A19" t="s">
        <v>4</v>
      </c>
      <c r="B19" t="s">
        <v>83</v>
      </c>
      <c r="C19">
        <v>2</v>
      </c>
      <c r="D19" t="str">
        <f>CONCATENATE(B19,"  variable")</f>
        <v>Module_Count_10  variable</v>
      </c>
      <c r="G19" s="3" t="str">
        <f>CONCATENATE("SVAR_",$B$4,"_",B19,"_",VLOOKUP(A19,misc!$C$2:$E$15,3,FALSE))</f>
        <v>SVAR_BMS_Module_Count_10_u8</v>
      </c>
      <c r="H19" s="23">
        <f>(VLOOKUP(A19, misc!$C$2:$D$28, 2, FALSE))</f>
        <v>1</v>
      </c>
      <c r="I19" s="23">
        <f t="shared" si="0"/>
        <v>2</v>
      </c>
      <c r="J19" s="23">
        <f t="shared" si="1"/>
        <v>2</v>
      </c>
      <c r="K19" s="3" t="str">
        <f t="shared" si="1"/>
        <v>Module_Count_10  variable</v>
      </c>
    </row>
    <row r="20" spans="1:11" x14ac:dyDescent="0.3">
      <c r="A20" t="s">
        <v>10</v>
      </c>
      <c r="B20" t="s">
        <v>84</v>
      </c>
      <c r="C20">
        <v>1</v>
      </c>
      <c r="D20" t="str">
        <f>CONCATENATE(B20,"  variable")</f>
        <v>Module_Count_11  variable</v>
      </c>
      <c r="G20" s="3" t="str">
        <f>CONCATENATE("SVAR_",$B$4,"_",B20,"_",VLOOKUP(A20,misc!$C$2:$E$15,3,FALSE))</f>
        <v>SVAR_BMS_Module_Count_11_u64</v>
      </c>
      <c r="H20" s="23">
        <f>(VLOOKUP(A20, misc!$C$2:$D$28, 2, FALSE))</f>
        <v>8</v>
      </c>
      <c r="I20" s="23">
        <f t="shared" si="0"/>
        <v>8</v>
      </c>
      <c r="J20" s="23">
        <f t="shared" si="1"/>
        <v>1</v>
      </c>
      <c r="K20" s="3" t="str">
        <f t="shared" si="1"/>
        <v>Module_Count_11  variable</v>
      </c>
    </row>
    <row r="21" spans="1:11" x14ac:dyDescent="0.3">
      <c r="A21" t="s">
        <v>4</v>
      </c>
      <c r="B21" t="s">
        <v>85</v>
      </c>
      <c r="C21">
        <v>1</v>
      </c>
      <c r="D21" t="str">
        <f>CONCATENATE(B21,"  variable")</f>
        <v>Module_Count_12  variable</v>
      </c>
      <c r="G21" s="3" t="str">
        <f>CONCATENATE("SVAR_",$B$4,"_",B21,"_",VLOOKUP(A21,misc!$C$2:$E$15,3,FALSE))</f>
        <v>SVAR_BMS_Module_Count_12_u8</v>
      </c>
      <c r="H21" s="23">
        <f>(VLOOKUP(A21, misc!$C$2:$D$28, 2, FALSE))</f>
        <v>1</v>
      </c>
      <c r="I21" s="23">
        <f t="shared" si="0"/>
        <v>1</v>
      </c>
      <c r="J21" s="23">
        <f t="shared" si="1"/>
        <v>1</v>
      </c>
      <c r="K21" s="3" t="str">
        <f t="shared" si="1"/>
        <v>Module_Count_12  variable</v>
      </c>
    </row>
    <row r="22" spans="1:11" x14ac:dyDescent="0.3">
      <c r="A22" t="s">
        <v>4</v>
      </c>
      <c r="B22" t="s">
        <v>86</v>
      </c>
      <c r="C22">
        <v>1</v>
      </c>
      <c r="D22" t="str">
        <f>CONCATENATE(B22,"  variable")</f>
        <v>Module_Count_13  variable</v>
      </c>
      <c r="G22" s="3" t="str">
        <f>CONCATENATE("SVAR_",$B$4,"_",B22,"_",VLOOKUP(A22,misc!$C$2:$E$15,3,FALSE))</f>
        <v>SVAR_BMS_Module_Count_13_u8</v>
      </c>
      <c r="H22" s="23">
        <f>(VLOOKUP(A22, misc!$C$2:$D$28, 2, FALSE))</f>
        <v>1</v>
      </c>
      <c r="I22" s="23">
        <f t="shared" si="0"/>
        <v>1</v>
      </c>
      <c r="J22" s="23">
        <f t="shared" si="1"/>
        <v>1</v>
      </c>
      <c r="K22" s="3" t="str">
        <f t="shared" si="1"/>
        <v>Module_Count_13  variable</v>
      </c>
    </row>
    <row r="23" spans="1:11" x14ac:dyDescent="0.3">
      <c r="A23" t="s">
        <v>22</v>
      </c>
      <c r="B23" t="s">
        <v>87</v>
      </c>
      <c r="C23">
        <v>1</v>
      </c>
      <c r="D23" t="str">
        <f>CONCATENATE(B23,"  variable")</f>
        <v>Module_Count_14  variable</v>
      </c>
      <c r="G23" s="3" t="str">
        <f>CONCATENATE("SVAR_",$B$4,"_",B23,"_",VLOOKUP(A23,misc!$C$2:$E$15,3,FALSE))</f>
        <v>SVAR_BMS_Module_Count_14_b</v>
      </c>
      <c r="H23" s="23">
        <f>(VLOOKUP(A23, misc!$C$2:$D$28, 2, FALSE))</f>
        <v>1</v>
      </c>
      <c r="I23" s="23">
        <f t="shared" si="0"/>
        <v>1</v>
      </c>
      <c r="J23" s="23">
        <f t="shared" si="1"/>
        <v>1</v>
      </c>
      <c r="K23" s="3" t="str">
        <f t="shared" si="1"/>
        <v>Module_Count_14  variable</v>
      </c>
    </row>
    <row r="24" spans="1:11" x14ac:dyDescent="0.3">
      <c r="A24" t="s">
        <v>22</v>
      </c>
      <c r="B24" t="s">
        <v>88</v>
      </c>
      <c r="C24">
        <v>1</v>
      </c>
      <c r="D24" t="str">
        <f>CONCATENATE(B24,"  variable")</f>
        <v>Module_Count_15  variable</v>
      </c>
      <c r="G24" s="3" t="str">
        <f>CONCATENATE("SVAR_",$B$4,"_",B24,"_",VLOOKUP(A24,misc!$C$2:$E$15,3,FALSE))</f>
        <v>SVAR_BMS_Module_Count_15_b</v>
      </c>
      <c r="H24" s="23">
        <f>(VLOOKUP(A24, misc!$C$2:$D$28, 2, FALSE))</f>
        <v>1</v>
      </c>
      <c r="I24" s="23">
        <f t="shared" si="0"/>
        <v>1</v>
      </c>
      <c r="J24" s="23">
        <f t="shared" si="1"/>
        <v>1</v>
      </c>
      <c r="K24" s="3" t="str">
        <f t="shared" si="1"/>
        <v>Module_Count_15  variable</v>
      </c>
    </row>
    <row r="25" spans="1:11" x14ac:dyDescent="0.3">
      <c r="A25" t="s">
        <v>4</v>
      </c>
      <c r="B25" t="s">
        <v>89</v>
      </c>
      <c r="C25">
        <v>1</v>
      </c>
      <c r="D25" t="str">
        <f>CONCATENATE(B25,"  variable")</f>
        <v>Module_Count_16  variable</v>
      </c>
      <c r="G25" s="3" t="str">
        <f>CONCATENATE("SVAR_",$B$4,"_",B25,"_",VLOOKUP(A25,misc!$C$2:$E$15,3,FALSE))</f>
        <v>SVAR_BMS_Module_Count_16_u8</v>
      </c>
      <c r="H25" s="23">
        <f>(VLOOKUP(A25, misc!$C$2:$D$28, 2, FALSE))</f>
        <v>1</v>
      </c>
      <c r="I25" s="23">
        <f t="shared" si="0"/>
        <v>1</v>
      </c>
      <c r="J25" s="23">
        <f t="shared" si="1"/>
        <v>1</v>
      </c>
      <c r="K25" s="3" t="str">
        <f t="shared" si="1"/>
        <v>Module_Count_16  variable</v>
      </c>
    </row>
    <row r="26" spans="1:11" x14ac:dyDescent="0.3">
      <c r="A26" t="s">
        <v>4</v>
      </c>
      <c r="B26" t="s">
        <v>90</v>
      </c>
      <c r="C26">
        <v>1</v>
      </c>
      <c r="D26" t="str">
        <f>CONCATENATE(B26,"  variable")</f>
        <v>Module_Count_17  variable</v>
      </c>
      <c r="G26" s="3" t="str">
        <f>CONCATENATE("SVAR_",$B$4,"_",B26,"_",VLOOKUP(A26,misc!$C$2:$E$15,3,FALSE))</f>
        <v>SVAR_BMS_Module_Count_17_u8</v>
      </c>
      <c r="H26" s="23">
        <f>(VLOOKUP(A26, misc!$C$2:$D$28, 2, FALSE))</f>
        <v>1</v>
      </c>
      <c r="I26" s="23">
        <f t="shared" si="0"/>
        <v>1</v>
      </c>
      <c r="J26" s="23">
        <f t="shared" si="1"/>
        <v>1</v>
      </c>
      <c r="K26" s="3" t="str">
        <f t="shared" si="1"/>
        <v>Module_Count_17  variable</v>
      </c>
    </row>
    <row r="27" spans="1:11" x14ac:dyDescent="0.3">
      <c r="A27" t="s">
        <v>4</v>
      </c>
      <c r="B27" t="s">
        <v>91</v>
      </c>
      <c r="C27">
        <v>1</v>
      </c>
      <c r="D27" t="str">
        <f>CONCATENATE(B27,"  variable")</f>
        <v>Module_Count_18  variable</v>
      </c>
      <c r="G27" s="3" t="str">
        <f>CONCATENATE("SVAR_",$B$4,"_",B27,"_",VLOOKUP(A27,misc!$C$2:$E$15,3,FALSE))</f>
        <v>SVAR_BMS_Module_Count_18_u8</v>
      </c>
      <c r="H27" s="23">
        <f>(VLOOKUP(A27, misc!$C$2:$D$28, 2, FALSE))</f>
        <v>1</v>
      </c>
      <c r="I27" s="23">
        <f t="shared" si="0"/>
        <v>1</v>
      </c>
      <c r="J27" s="23">
        <f t="shared" si="1"/>
        <v>1</v>
      </c>
      <c r="K27" s="3" t="str">
        <f t="shared" si="1"/>
        <v>Module_Count_18  variable</v>
      </c>
    </row>
    <row r="28" spans="1:11" x14ac:dyDescent="0.3">
      <c r="A28" t="s">
        <v>4</v>
      </c>
      <c r="B28" t="s">
        <v>92</v>
      </c>
      <c r="C28">
        <v>1</v>
      </c>
      <c r="D28" t="str">
        <f>CONCATENATE(B28,"  variable")</f>
        <v>Module_Count_19  variable</v>
      </c>
      <c r="G28" s="3" t="str">
        <f>CONCATENATE("SVAR_",$B$4,"_",B28,"_",VLOOKUP(A28,misc!$C$2:$E$15,3,FALSE))</f>
        <v>SVAR_BMS_Module_Count_19_u8</v>
      </c>
      <c r="H28" s="23">
        <f>(VLOOKUP(A28, misc!$C$2:$D$28, 2, FALSE))</f>
        <v>1</v>
      </c>
      <c r="I28" s="23">
        <f t="shared" si="0"/>
        <v>1</v>
      </c>
      <c r="J28" s="23">
        <f t="shared" si="1"/>
        <v>1</v>
      </c>
      <c r="K28" s="3" t="str">
        <f t="shared" si="1"/>
        <v>Module_Count_19  variable</v>
      </c>
    </row>
    <row r="29" spans="1:11" x14ac:dyDescent="0.3">
      <c r="A29" t="s">
        <v>4</v>
      </c>
      <c r="B29" t="s">
        <v>93</v>
      </c>
      <c r="C29">
        <v>1</v>
      </c>
      <c r="D29" t="str">
        <f>CONCATENATE(B29,"  variable")</f>
        <v>Module_Count_20  variable</v>
      </c>
      <c r="G29" s="3" t="str">
        <f>CONCATENATE("SVAR_",$B$4,"_",B29,"_",VLOOKUP(A29,misc!$C$2:$E$15,3,FALSE))</f>
        <v>SVAR_BMS_Module_Count_20_u8</v>
      </c>
      <c r="H29" s="23">
        <f>(VLOOKUP(A29, misc!$C$2:$D$28, 2, FALSE))</f>
        <v>1</v>
      </c>
      <c r="I29" s="23">
        <f t="shared" si="0"/>
        <v>1</v>
      </c>
      <c r="J29" s="23">
        <f t="shared" si="1"/>
        <v>1</v>
      </c>
      <c r="K29" s="3" t="str">
        <f t="shared" si="1"/>
        <v>Module_Count_20  variable</v>
      </c>
    </row>
    <row r="30" spans="1:11" x14ac:dyDescent="0.3">
      <c r="A30" t="s">
        <v>23</v>
      </c>
      <c r="B30" t="s">
        <v>94</v>
      </c>
      <c r="C30">
        <v>1</v>
      </c>
      <c r="D30" t="str">
        <f>CONCATENATE(B30,"  variable")</f>
        <v>Module_Count_21  variable</v>
      </c>
      <c r="G30" s="3" t="str">
        <f>CONCATENATE("SVAR_",$B$4,"_",B30,"_",VLOOKUP(A30,misc!$C$2:$E$15,3,FALSE))</f>
        <v>SVAR_BMS_Module_Count_21_add</v>
      </c>
      <c r="H30" s="23">
        <f>(VLOOKUP(A30, misc!$C$2:$D$28, 2, FALSE))</f>
        <v>4</v>
      </c>
      <c r="I30" s="23">
        <f t="shared" si="0"/>
        <v>4</v>
      </c>
      <c r="J30" s="23">
        <f t="shared" si="1"/>
        <v>1</v>
      </c>
      <c r="K30" s="3" t="str">
        <f t="shared" si="1"/>
        <v>Module_Count_21  variable</v>
      </c>
    </row>
    <row r="31" spans="1:11" x14ac:dyDescent="0.3">
      <c r="A31" t="s">
        <v>4</v>
      </c>
      <c r="B31" t="s">
        <v>95</v>
      </c>
      <c r="C31">
        <v>1</v>
      </c>
      <c r="D31" t="str">
        <f>CONCATENATE(B31,"  variable")</f>
        <v>Module_Count_22  variable</v>
      </c>
      <c r="G31" s="3" t="str">
        <f>CONCATENATE("SVAR_",$B$4,"_",B31,"_",VLOOKUP(A31,misc!$C$2:$E$15,3,FALSE))</f>
        <v>SVAR_BMS_Module_Count_22_u8</v>
      </c>
      <c r="H31" s="23">
        <f>(VLOOKUP(A31, misc!$C$2:$D$28, 2, FALSE))</f>
        <v>1</v>
      </c>
      <c r="I31" s="23">
        <f t="shared" si="0"/>
        <v>1</v>
      </c>
      <c r="J31" s="23">
        <f t="shared" si="1"/>
        <v>1</v>
      </c>
      <c r="K31" s="3" t="str">
        <f t="shared" si="1"/>
        <v>Module_Count_22  variable</v>
      </c>
    </row>
    <row r="32" spans="1:11" x14ac:dyDescent="0.3">
      <c r="A32" t="s">
        <v>4</v>
      </c>
      <c r="B32" t="s">
        <v>96</v>
      </c>
      <c r="C32">
        <v>1</v>
      </c>
      <c r="D32" t="str">
        <f>CONCATENATE(B32,"  variable")</f>
        <v>Module_Count_23  variable</v>
      </c>
      <c r="G32" s="3" t="str">
        <f>CONCATENATE("SVAR_",$B$4,"_",B32,"_",VLOOKUP(A32,misc!$C$2:$E$15,3,FALSE))</f>
        <v>SVAR_BMS_Module_Count_23_u8</v>
      </c>
      <c r="H32" s="23">
        <f>(VLOOKUP(A32, misc!$C$2:$D$28, 2, FALSE))</f>
        <v>1</v>
      </c>
      <c r="I32" s="23">
        <f t="shared" si="0"/>
        <v>1</v>
      </c>
      <c r="J32" s="23">
        <f t="shared" si="1"/>
        <v>1</v>
      </c>
      <c r="K32" s="3" t="str">
        <f t="shared" si="1"/>
        <v>Module_Count_23  variable</v>
      </c>
    </row>
    <row r="33" spans="1:11" x14ac:dyDescent="0.3">
      <c r="A33" t="s">
        <v>4</v>
      </c>
      <c r="B33" t="s">
        <v>97</v>
      </c>
      <c r="C33">
        <v>1</v>
      </c>
      <c r="D33" t="str">
        <f>CONCATENATE(B33,"  variable")</f>
        <v>Module_Count_24  variable</v>
      </c>
      <c r="G33" s="3" t="str">
        <f>CONCATENATE("SVAR_",$B$4,"_",B33,"_",VLOOKUP(A33,misc!$C$2:$E$15,3,FALSE))</f>
        <v>SVAR_BMS_Module_Count_24_u8</v>
      </c>
      <c r="H33" s="23">
        <f>(VLOOKUP(A33, misc!$C$2:$D$28, 2, FALSE))</f>
        <v>1</v>
      </c>
      <c r="I33" s="23">
        <f t="shared" si="0"/>
        <v>1</v>
      </c>
      <c r="J33" s="23">
        <f t="shared" si="1"/>
        <v>1</v>
      </c>
      <c r="K33" s="3" t="str">
        <f t="shared" si="1"/>
        <v>Module_Count_24  variable</v>
      </c>
    </row>
    <row r="34" spans="1:11" x14ac:dyDescent="0.3">
      <c r="A34" t="s">
        <v>4</v>
      </c>
      <c r="B34" t="s">
        <v>98</v>
      </c>
      <c r="C34">
        <v>1</v>
      </c>
      <c r="D34" t="str">
        <f>CONCATENATE(B34,"  variable")</f>
        <v>Module_Count_25  variable</v>
      </c>
      <c r="G34" s="3" t="str">
        <f>CONCATENATE("SVAR_",$B$4,"_",B34,"_",VLOOKUP(A34,misc!$C$2:$E$15,3,FALSE))</f>
        <v>SVAR_BMS_Module_Count_25_u8</v>
      </c>
      <c r="H34" s="23">
        <f>(VLOOKUP(A34, misc!$C$2:$D$28, 2, FALSE))</f>
        <v>1</v>
      </c>
      <c r="I34" s="23">
        <f t="shared" si="0"/>
        <v>1</v>
      </c>
      <c r="J34" s="23">
        <f t="shared" si="1"/>
        <v>1</v>
      </c>
      <c r="K34" s="3" t="str">
        <f t="shared" si="1"/>
        <v>Module_Count_25  variable</v>
      </c>
    </row>
    <row r="35" spans="1:11" x14ac:dyDescent="0.3">
      <c r="A35" t="s">
        <v>13</v>
      </c>
      <c r="B35" t="s">
        <v>99</v>
      </c>
      <c r="C35">
        <v>1</v>
      </c>
      <c r="D35" t="str">
        <f>CONCATENATE(B35,"  variable")</f>
        <v>Module_Count_26  variable</v>
      </c>
      <c r="G35" s="3" t="str">
        <f>CONCATENATE("SVAR_",$B$4,"_",B35,"_",VLOOKUP(A35,misc!$C$2:$E$15,3,FALSE))</f>
        <v>SVAR_BMS_Module_Count_26_f</v>
      </c>
      <c r="H35" s="23">
        <f>(VLOOKUP(A35, misc!$C$2:$D$28, 2, FALSE))</f>
        <v>4</v>
      </c>
      <c r="I35" s="23">
        <f t="shared" si="0"/>
        <v>4</v>
      </c>
      <c r="J35" s="23">
        <f t="shared" si="1"/>
        <v>1</v>
      </c>
      <c r="K35" s="3" t="str">
        <f t="shared" si="1"/>
        <v>Module_Count_26  variable</v>
      </c>
    </row>
    <row r="36" spans="1:11" x14ac:dyDescent="0.3">
      <c r="A36" t="s">
        <v>4</v>
      </c>
      <c r="B36" t="s">
        <v>100</v>
      </c>
      <c r="C36">
        <v>1</v>
      </c>
      <c r="D36" t="str">
        <f>CONCATENATE(B36,"  variable")</f>
        <v>Module_Count_27  variable</v>
      </c>
      <c r="G36" s="3" t="str">
        <f>CONCATENATE("SVAR_",$B$4,"_",B36,"_",VLOOKUP(A36,misc!$C$2:$E$15,3,FALSE))</f>
        <v>SVAR_BMS_Module_Count_27_u8</v>
      </c>
      <c r="H36" s="23">
        <f>(VLOOKUP(A36, misc!$C$2:$D$28, 2, FALSE))</f>
        <v>1</v>
      </c>
      <c r="I36" s="23">
        <f t="shared" si="0"/>
        <v>1</v>
      </c>
      <c r="J36" s="23">
        <f t="shared" si="1"/>
        <v>1</v>
      </c>
      <c r="K36" s="3" t="str">
        <f t="shared" si="1"/>
        <v>Module_Count_27  variable</v>
      </c>
    </row>
    <row r="37" spans="1:11" x14ac:dyDescent="0.3">
      <c r="A37" t="s">
        <v>4</v>
      </c>
      <c r="B37" t="s">
        <v>101</v>
      </c>
      <c r="C37">
        <v>1</v>
      </c>
      <c r="D37" t="str">
        <f>CONCATENATE(B37,"  variable")</f>
        <v>Module_Count_28  variable</v>
      </c>
      <c r="G37" s="3" t="str">
        <f>CONCATENATE("SVAR_",$B$4,"_",B37,"_",VLOOKUP(A37,misc!$C$2:$E$15,3,FALSE))</f>
        <v>SVAR_BMS_Module_Count_28_u8</v>
      </c>
      <c r="H37" s="23">
        <f>(VLOOKUP(A37, misc!$C$2:$D$28, 2, FALSE))</f>
        <v>1</v>
      </c>
      <c r="I37" s="23">
        <f t="shared" si="0"/>
        <v>1</v>
      </c>
      <c r="J37" s="23">
        <f t="shared" si="1"/>
        <v>1</v>
      </c>
      <c r="K37" s="3" t="str">
        <f t="shared" si="1"/>
        <v>Module_Count_28  variable</v>
      </c>
    </row>
    <row r="38" spans="1:11" x14ac:dyDescent="0.3">
      <c r="A38" t="s">
        <v>4</v>
      </c>
      <c r="B38" t="s">
        <v>102</v>
      </c>
      <c r="C38">
        <v>1</v>
      </c>
      <c r="D38" t="str">
        <f>CONCATENATE(B38,"  variable")</f>
        <v>Module_Count_29  variable</v>
      </c>
      <c r="G38" s="3" t="str">
        <f>CONCATENATE("SVAR_",$B$4,"_",B38,"_",VLOOKUP(A38,misc!$C$2:$E$15,3,FALSE))</f>
        <v>SVAR_BMS_Module_Count_29_u8</v>
      </c>
      <c r="H38" s="23">
        <f>(VLOOKUP(A38, misc!$C$2:$D$28, 2, FALSE))</f>
        <v>1</v>
      </c>
      <c r="I38" s="23">
        <f t="shared" si="0"/>
        <v>1</v>
      </c>
      <c r="J38" s="23">
        <f t="shared" si="1"/>
        <v>1</v>
      </c>
      <c r="K38" s="3" t="str">
        <f t="shared" si="1"/>
        <v>Module_Count_29  variable</v>
      </c>
    </row>
    <row r="39" spans="1:11" x14ac:dyDescent="0.3">
      <c r="A39" t="s">
        <v>5</v>
      </c>
      <c r="B39" t="s">
        <v>103</v>
      </c>
      <c r="C39">
        <v>1</v>
      </c>
      <c r="D39" t="str">
        <f>CONCATENATE(B39,"  variable")</f>
        <v>Module_Count_30  variable</v>
      </c>
      <c r="G39" s="3" t="str">
        <f>CONCATENATE("SVAR_",$B$4,"_",B39,"_",VLOOKUP(A39,misc!$C$2:$E$15,3,FALSE))</f>
        <v>SVAR_BMS_Module_Count_30_s8</v>
      </c>
      <c r="H39" s="23">
        <f>(VLOOKUP(A39, misc!$C$2:$D$28, 2, FALSE))</f>
        <v>1</v>
      </c>
      <c r="I39" s="23">
        <f t="shared" si="0"/>
        <v>1</v>
      </c>
      <c r="J39" s="23">
        <f t="shared" si="1"/>
        <v>1</v>
      </c>
      <c r="K39" s="3" t="str">
        <f t="shared" si="1"/>
        <v>Module_Count_30  variable</v>
      </c>
    </row>
    <row r="40" spans="1:11" x14ac:dyDescent="0.3">
      <c r="A40" t="s">
        <v>22</v>
      </c>
      <c r="B40" t="s">
        <v>104</v>
      </c>
      <c r="C40">
        <v>1</v>
      </c>
      <c r="D40" t="str">
        <f>CONCATENATE(B40,"  variable")</f>
        <v>Module_Count_31  variable</v>
      </c>
      <c r="G40" s="3" t="str">
        <f>CONCATENATE("SVAR_",$B$4,"_",B40,"_",VLOOKUP(A40,misc!$C$2:$E$15,3,FALSE))</f>
        <v>SVAR_BMS_Module_Count_31_b</v>
      </c>
      <c r="H40" s="23">
        <f>(VLOOKUP(A40, misc!$C$2:$D$28, 2, FALSE))</f>
        <v>1</v>
      </c>
      <c r="I40" s="23">
        <f t="shared" si="0"/>
        <v>1</v>
      </c>
      <c r="J40" s="23">
        <f t="shared" si="1"/>
        <v>1</v>
      </c>
      <c r="K40" s="3" t="str">
        <f t="shared" si="1"/>
        <v>Module_Count_31  variable</v>
      </c>
    </row>
    <row r="41" spans="1:11" x14ac:dyDescent="0.3">
      <c r="A41" t="s">
        <v>9</v>
      </c>
      <c r="B41" t="s">
        <v>105</v>
      </c>
      <c r="C41">
        <v>1</v>
      </c>
      <c r="D41" t="str">
        <f>CONCATENATE(B41,"  variable")</f>
        <v>Module_Count_32  variable</v>
      </c>
      <c r="G41" s="3" t="str">
        <f>CONCATENATE("SVAR_",$B$4,"_",B41,"_",VLOOKUP(A41,misc!$C$2:$E$15,3,FALSE))</f>
        <v>SVAR_BMS_Module_Count_32_s32</v>
      </c>
      <c r="H41" s="23">
        <f>(VLOOKUP(A41, misc!$C$2:$D$28, 2, FALSE))</f>
        <v>4</v>
      </c>
      <c r="I41" s="23">
        <f t="shared" si="0"/>
        <v>4</v>
      </c>
      <c r="J41" s="23">
        <f t="shared" si="1"/>
        <v>1</v>
      </c>
      <c r="K41" s="3" t="str">
        <f t="shared" si="1"/>
        <v>Module_Count_32  variable</v>
      </c>
    </row>
  </sheetData>
  <mergeCells count="1">
    <mergeCell ref="G5:K5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ED457B0-0EAD-492B-A37E-75AFB9DC879C}">
          <x14:formula1>
            <xm:f>misc!$C$2:$C$22</xm:f>
          </x14:formula1>
          <xm:sqref>A7:A41</xm:sqref>
        </x14:dataValidation>
        <x14:dataValidation type="list" allowBlank="1" showInputMessage="1" showErrorMessage="1" xr:uid="{307AF454-2F92-4CDF-B11F-B5096487B41B}">
          <x14:formula1>
            <xm:f>misc!$A$2:$A$13</xm:f>
          </x14:formula1>
          <xm:sqref>B1</xm:sqref>
        </x14:dataValidation>
        <x14:dataValidation type="list" allowBlank="1" showInputMessage="1" showErrorMessage="1" xr:uid="{E6CC65C8-50B9-4477-9BF7-1836A0662210}">
          <x14:formula1>
            <xm:f>misc!$B$2:$B$4</xm:f>
          </x14:formula1>
          <xm:sqref>B2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9D9F7-97FB-42C0-AA07-06E053148763}">
  <dimension ref="A1:N15"/>
  <sheetViews>
    <sheetView workbookViewId="0">
      <selection activeCell="F19" sqref="F19"/>
    </sheetView>
  </sheetViews>
  <sheetFormatPr defaultRowHeight="14.4" x14ac:dyDescent="0.3"/>
  <cols>
    <col min="1" max="2" width="23.33203125" customWidth="1"/>
    <col min="3" max="3" width="13.109375" customWidth="1"/>
    <col min="4" max="4" width="11.21875" customWidth="1"/>
    <col min="5" max="5" width="11.109375" customWidth="1"/>
  </cols>
  <sheetData>
    <row r="1" spans="1:14" x14ac:dyDescent="0.3">
      <c r="A1" s="1" t="s">
        <v>1</v>
      </c>
      <c r="B1" s="1" t="s">
        <v>16</v>
      </c>
      <c r="C1" s="1" t="s">
        <v>2</v>
      </c>
      <c r="D1" s="1" t="s">
        <v>12</v>
      </c>
      <c r="E1" s="1" t="s">
        <v>30</v>
      </c>
      <c r="F1" s="1" t="s">
        <v>112</v>
      </c>
      <c r="N1" t="s">
        <v>54</v>
      </c>
    </row>
    <row r="2" spans="1:14" x14ac:dyDescent="0.3">
      <c r="A2" t="s">
        <v>106</v>
      </c>
      <c r="B2" t="s">
        <v>17</v>
      </c>
      <c r="C2" t="s">
        <v>22</v>
      </c>
      <c r="D2">
        <v>1</v>
      </c>
      <c r="E2" t="s">
        <v>31</v>
      </c>
      <c r="F2" t="s">
        <v>113</v>
      </c>
      <c r="N2" t="s">
        <v>55</v>
      </c>
    </row>
    <row r="3" spans="1:14" x14ac:dyDescent="0.3">
      <c r="A3" t="s">
        <v>107</v>
      </c>
      <c r="B3" t="s">
        <v>18</v>
      </c>
      <c r="C3" t="s">
        <v>3</v>
      </c>
      <c r="D3">
        <v>1</v>
      </c>
      <c r="E3" t="s">
        <v>32</v>
      </c>
      <c r="F3" t="s">
        <v>114</v>
      </c>
    </row>
    <row r="4" spans="1:14" x14ac:dyDescent="0.3">
      <c r="A4" t="s">
        <v>108</v>
      </c>
      <c r="B4" t="s">
        <v>19</v>
      </c>
      <c r="C4" t="s">
        <v>4</v>
      </c>
      <c r="D4">
        <v>1</v>
      </c>
      <c r="E4" t="s">
        <v>35</v>
      </c>
    </row>
    <row r="5" spans="1:14" x14ac:dyDescent="0.3">
      <c r="C5" t="s">
        <v>5</v>
      </c>
      <c r="D5">
        <v>1</v>
      </c>
      <c r="E5" t="s">
        <v>36</v>
      </c>
    </row>
    <row r="6" spans="1:14" x14ac:dyDescent="0.3">
      <c r="C6" t="s">
        <v>6</v>
      </c>
      <c r="D6">
        <v>2</v>
      </c>
      <c r="E6" t="s">
        <v>37</v>
      </c>
    </row>
    <row r="7" spans="1:14" x14ac:dyDescent="0.3">
      <c r="C7" t="s">
        <v>7</v>
      </c>
      <c r="D7">
        <v>2</v>
      </c>
      <c r="E7" t="s">
        <v>38</v>
      </c>
    </row>
    <row r="8" spans="1:14" x14ac:dyDescent="0.3">
      <c r="C8" t="s">
        <v>8</v>
      </c>
      <c r="D8">
        <v>4</v>
      </c>
      <c r="E8" t="s">
        <v>39</v>
      </c>
    </row>
    <row r="9" spans="1:14" x14ac:dyDescent="0.3">
      <c r="C9" t="s">
        <v>9</v>
      </c>
      <c r="D9">
        <v>4</v>
      </c>
      <c r="E9" t="s">
        <v>40</v>
      </c>
    </row>
    <row r="10" spans="1:14" x14ac:dyDescent="0.3">
      <c r="C10" t="s">
        <v>10</v>
      </c>
      <c r="D10">
        <v>8</v>
      </c>
      <c r="E10" t="s">
        <v>41</v>
      </c>
    </row>
    <row r="11" spans="1:14" x14ac:dyDescent="0.3">
      <c r="C11" t="s">
        <v>11</v>
      </c>
      <c r="D11">
        <v>8</v>
      </c>
      <c r="E11" t="s">
        <v>42</v>
      </c>
    </row>
    <row r="12" spans="1:14" x14ac:dyDescent="0.3">
      <c r="C12" t="s">
        <v>13</v>
      </c>
      <c r="D12">
        <v>4</v>
      </c>
      <c r="E12" t="s">
        <v>33</v>
      </c>
    </row>
    <row r="13" spans="1:14" x14ac:dyDescent="0.3">
      <c r="C13" t="s">
        <v>14</v>
      </c>
      <c r="D13">
        <v>8</v>
      </c>
      <c r="E13" t="s">
        <v>34</v>
      </c>
    </row>
    <row r="14" spans="1:14" x14ac:dyDescent="0.3">
      <c r="C14" t="s">
        <v>21</v>
      </c>
      <c r="D14">
        <v>16</v>
      </c>
      <c r="E14" t="s">
        <v>43</v>
      </c>
    </row>
    <row r="15" spans="1:14" x14ac:dyDescent="0.3">
      <c r="C15" t="s">
        <v>23</v>
      </c>
      <c r="D15">
        <v>4</v>
      </c>
      <c r="E15" t="s">
        <v>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CSV</vt:lpstr>
      <vt:lpstr>Context</vt:lpstr>
      <vt:lpstr>varSheet1</vt:lpstr>
      <vt:lpstr>varSheet2</vt:lpstr>
      <vt:lpstr>misc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Verma</dc:creator>
  <cp:lastModifiedBy>Manish Verma</cp:lastModifiedBy>
  <dcterms:created xsi:type="dcterms:W3CDTF">2015-06-05T18:17:20Z</dcterms:created>
  <dcterms:modified xsi:type="dcterms:W3CDTF">2025-05-11T07:45:14Z</dcterms:modified>
</cp:coreProperties>
</file>