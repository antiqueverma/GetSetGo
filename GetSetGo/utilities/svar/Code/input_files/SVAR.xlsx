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D:\RnD\Modules\Code\input_files\"/>
    </mc:Choice>
  </mc:AlternateContent>
  <xr:revisionPtr revIDLastSave="0" documentId="13_ncr:1_{A17F51E7-D904-40AC-B0CC-19CEA3D4A83A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Context" sheetId="3" r:id="rId1"/>
    <sheet name="varSheet1" sheetId="1" r:id="rId2"/>
    <sheet name="varSheet2" sheetId="9" r:id="rId3"/>
    <sheet name="varSheet3" sheetId="10" r:id="rId4"/>
    <sheet name="misc" sheetId="2" state="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2" i="10" l="1"/>
  <c r="I42" i="10"/>
  <c r="H42" i="10"/>
  <c r="G42" i="10"/>
  <c r="D42" i="10"/>
  <c r="K42" i="10" s="1"/>
  <c r="J41" i="10"/>
  <c r="I41" i="10"/>
  <c r="H41" i="10"/>
  <c r="G41" i="10"/>
  <c r="D41" i="10"/>
  <c r="K41" i="10" s="1"/>
  <c r="J40" i="10"/>
  <c r="H40" i="10"/>
  <c r="I40" i="10" s="1"/>
  <c r="G40" i="10"/>
  <c r="D40" i="10"/>
  <c r="K40" i="10" s="1"/>
  <c r="K39" i="10"/>
  <c r="J39" i="10"/>
  <c r="H39" i="10"/>
  <c r="I39" i="10" s="1"/>
  <c r="G39" i="10"/>
  <c r="D39" i="10"/>
  <c r="J38" i="10"/>
  <c r="I38" i="10"/>
  <c r="H38" i="10"/>
  <c r="G38" i="10"/>
  <c r="D38" i="10"/>
  <c r="K38" i="10" s="1"/>
  <c r="J37" i="10"/>
  <c r="I37" i="10"/>
  <c r="H37" i="10"/>
  <c r="G37" i="10"/>
  <c r="D37" i="10"/>
  <c r="K37" i="10" s="1"/>
  <c r="J36" i="10"/>
  <c r="H36" i="10"/>
  <c r="I36" i="10" s="1"/>
  <c r="G36" i="10"/>
  <c r="D36" i="10"/>
  <c r="K36" i="10" s="1"/>
  <c r="J35" i="10"/>
  <c r="H35" i="10"/>
  <c r="I35" i="10" s="1"/>
  <c r="G35" i="10"/>
  <c r="D35" i="10"/>
  <c r="K35" i="10" s="1"/>
  <c r="J34" i="10"/>
  <c r="I34" i="10"/>
  <c r="H34" i="10"/>
  <c r="G34" i="10"/>
  <c r="D34" i="10"/>
  <c r="K34" i="10" s="1"/>
  <c r="J33" i="10"/>
  <c r="I33" i="10"/>
  <c r="H33" i="10"/>
  <c r="G33" i="10"/>
  <c r="D33" i="10"/>
  <c r="K33" i="10" s="1"/>
  <c r="K32" i="10"/>
  <c r="J32" i="10"/>
  <c r="H32" i="10"/>
  <c r="I32" i="10" s="1"/>
  <c r="G32" i="10"/>
  <c r="D32" i="10"/>
  <c r="K31" i="10"/>
  <c r="J31" i="10"/>
  <c r="H31" i="10"/>
  <c r="I31" i="10" s="1"/>
  <c r="G31" i="10"/>
  <c r="D31" i="10"/>
  <c r="J30" i="10"/>
  <c r="I30" i="10"/>
  <c r="H30" i="10"/>
  <c r="G30" i="10"/>
  <c r="D30" i="10"/>
  <c r="K30" i="10" s="1"/>
  <c r="J29" i="10"/>
  <c r="I29" i="10"/>
  <c r="H29" i="10"/>
  <c r="G29" i="10"/>
  <c r="D29" i="10"/>
  <c r="K29" i="10" s="1"/>
  <c r="J28" i="10"/>
  <c r="H28" i="10"/>
  <c r="I28" i="10" s="1"/>
  <c r="G28" i="10"/>
  <c r="D28" i="10"/>
  <c r="K28" i="10" s="1"/>
  <c r="J27" i="10"/>
  <c r="H27" i="10"/>
  <c r="I27" i="10" s="1"/>
  <c r="G27" i="10"/>
  <c r="D27" i="10"/>
  <c r="K27" i="10" s="1"/>
  <c r="J26" i="10"/>
  <c r="I26" i="10"/>
  <c r="H26" i="10"/>
  <c r="G26" i="10"/>
  <c r="D26" i="10"/>
  <c r="K26" i="10" s="1"/>
  <c r="J25" i="10"/>
  <c r="I25" i="10"/>
  <c r="H25" i="10"/>
  <c r="G25" i="10"/>
  <c r="D25" i="10"/>
  <c r="K25" i="10" s="1"/>
  <c r="K24" i="10"/>
  <c r="J24" i="10"/>
  <c r="H24" i="10"/>
  <c r="I24" i="10" s="1"/>
  <c r="G24" i="10"/>
  <c r="D24" i="10"/>
  <c r="K23" i="10"/>
  <c r="J23" i="10"/>
  <c r="H23" i="10"/>
  <c r="I23" i="10" s="1"/>
  <c r="G23" i="10"/>
  <c r="D23" i="10"/>
  <c r="J22" i="10"/>
  <c r="I22" i="10"/>
  <c r="H22" i="10"/>
  <c r="G22" i="10"/>
  <c r="D22" i="10"/>
  <c r="K22" i="10" s="1"/>
  <c r="J21" i="10"/>
  <c r="I21" i="10"/>
  <c r="H21" i="10"/>
  <c r="G21" i="10"/>
  <c r="D21" i="10"/>
  <c r="K21" i="10" s="1"/>
  <c r="J20" i="10"/>
  <c r="H20" i="10"/>
  <c r="I20" i="10" s="1"/>
  <c r="G20" i="10"/>
  <c r="D20" i="10"/>
  <c r="K20" i="10" s="1"/>
  <c r="J19" i="10"/>
  <c r="H19" i="10"/>
  <c r="I19" i="10" s="1"/>
  <c r="G19" i="10"/>
  <c r="D19" i="10"/>
  <c r="K19" i="10" s="1"/>
  <c r="J18" i="10"/>
  <c r="I18" i="10"/>
  <c r="H18" i="10"/>
  <c r="G18" i="10"/>
  <c r="D18" i="10"/>
  <c r="K18" i="10" s="1"/>
  <c r="J17" i="10"/>
  <c r="I17" i="10"/>
  <c r="H17" i="10"/>
  <c r="G17" i="10"/>
  <c r="D17" i="10"/>
  <c r="K17" i="10" s="1"/>
  <c r="K16" i="10"/>
  <c r="J16" i="10"/>
  <c r="H16" i="10"/>
  <c r="I16" i="10" s="1"/>
  <c r="G16" i="10"/>
  <c r="D16" i="10"/>
  <c r="K15" i="10"/>
  <c r="J15" i="10"/>
  <c r="H15" i="10"/>
  <c r="I15" i="10" s="1"/>
  <c r="G15" i="10"/>
  <c r="D15" i="10"/>
  <c r="J14" i="10"/>
  <c r="I14" i="10"/>
  <c r="H14" i="10"/>
  <c r="G14" i="10"/>
  <c r="D14" i="10"/>
  <c r="K14" i="10" s="1"/>
  <c r="J13" i="10"/>
  <c r="I13" i="10"/>
  <c r="H13" i="10"/>
  <c r="G13" i="10"/>
  <c r="D13" i="10"/>
  <c r="K13" i="10" s="1"/>
  <c r="J12" i="10"/>
  <c r="H12" i="10"/>
  <c r="I12" i="10" s="1"/>
  <c r="G12" i="10"/>
  <c r="D12" i="10"/>
  <c r="K12" i="10" s="1"/>
  <c r="J11" i="10"/>
  <c r="H11" i="10"/>
  <c r="I11" i="10" s="1"/>
  <c r="G11" i="10"/>
  <c r="D11" i="10"/>
  <c r="K11" i="10" s="1"/>
  <c r="J10" i="10"/>
  <c r="I10" i="10"/>
  <c r="H10" i="10"/>
  <c r="G10" i="10"/>
  <c r="D10" i="10"/>
  <c r="K10" i="10" s="1"/>
  <c r="J9" i="10"/>
  <c r="I9" i="10"/>
  <c r="H9" i="10"/>
  <c r="G9" i="10"/>
  <c r="D9" i="10"/>
  <c r="K9" i="10" s="1"/>
  <c r="J8" i="10"/>
  <c r="H8" i="10"/>
  <c r="I8" i="10" s="1"/>
  <c r="G8" i="10"/>
  <c r="D8" i="10"/>
  <c r="K8" i="10" s="1"/>
  <c r="K42" i="9"/>
  <c r="J42" i="9"/>
  <c r="H42" i="9"/>
  <c r="I42" i="9" s="1"/>
  <c r="G42" i="9"/>
  <c r="D42" i="9"/>
  <c r="J41" i="9"/>
  <c r="I41" i="9"/>
  <c r="H41" i="9"/>
  <c r="G41" i="9"/>
  <c r="D41" i="9"/>
  <c r="K41" i="9" s="1"/>
  <c r="J40" i="9"/>
  <c r="H40" i="9"/>
  <c r="I40" i="9" s="1"/>
  <c r="G40" i="9"/>
  <c r="D40" i="9"/>
  <c r="K40" i="9" s="1"/>
  <c r="J39" i="9"/>
  <c r="I39" i="9"/>
  <c r="H39" i="9"/>
  <c r="G39" i="9"/>
  <c r="D39" i="9"/>
  <c r="K39" i="9" s="1"/>
  <c r="J38" i="9"/>
  <c r="H38" i="9"/>
  <c r="I38" i="9" s="1"/>
  <c r="G38" i="9"/>
  <c r="D38" i="9"/>
  <c r="K38" i="9" s="1"/>
  <c r="J37" i="9"/>
  <c r="I37" i="9"/>
  <c r="H37" i="9"/>
  <c r="G37" i="9"/>
  <c r="D37" i="9"/>
  <c r="K37" i="9" s="1"/>
  <c r="K36" i="9"/>
  <c r="J36" i="9"/>
  <c r="H36" i="9"/>
  <c r="I36" i="9" s="1"/>
  <c r="G36" i="9"/>
  <c r="D36" i="9"/>
  <c r="J35" i="9"/>
  <c r="I35" i="9"/>
  <c r="H35" i="9"/>
  <c r="G35" i="9"/>
  <c r="D35" i="9"/>
  <c r="K35" i="9" s="1"/>
  <c r="K34" i="9"/>
  <c r="J34" i="9"/>
  <c r="H34" i="9"/>
  <c r="I34" i="9" s="1"/>
  <c r="G34" i="9"/>
  <c r="D34" i="9"/>
  <c r="J33" i="9"/>
  <c r="I33" i="9"/>
  <c r="H33" i="9"/>
  <c r="G33" i="9"/>
  <c r="D33" i="9"/>
  <c r="K33" i="9" s="1"/>
  <c r="J32" i="9"/>
  <c r="H32" i="9"/>
  <c r="I32" i="9" s="1"/>
  <c r="G32" i="9"/>
  <c r="D32" i="9"/>
  <c r="K32" i="9" s="1"/>
  <c r="J31" i="9"/>
  <c r="I31" i="9"/>
  <c r="H31" i="9"/>
  <c r="G31" i="9"/>
  <c r="D31" i="9"/>
  <c r="K31" i="9" s="1"/>
  <c r="J30" i="9"/>
  <c r="H30" i="9"/>
  <c r="I30" i="9" s="1"/>
  <c r="G30" i="9"/>
  <c r="D30" i="9"/>
  <c r="K30" i="9" s="1"/>
  <c r="J29" i="9"/>
  <c r="I29" i="9"/>
  <c r="H29" i="9"/>
  <c r="G29" i="9"/>
  <c r="D29" i="9"/>
  <c r="K29" i="9" s="1"/>
  <c r="K28" i="9"/>
  <c r="J28" i="9"/>
  <c r="H28" i="9"/>
  <c r="I28" i="9" s="1"/>
  <c r="G28" i="9"/>
  <c r="D28" i="9"/>
  <c r="J27" i="9"/>
  <c r="I27" i="9"/>
  <c r="H27" i="9"/>
  <c r="G27" i="9"/>
  <c r="D27" i="9"/>
  <c r="K27" i="9" s="1"/>
  <c r="K26" i="9"/>
  <c r="J26" i="9"/>
  <c r="H26" i="9"/>
  <c r="I26" i="9" s="1"/>
  <c r="G26" i="9"/>
  <c r="D26" i="9"/>
  <c r="J25" i="9"/>
  <c r="I25" i="9"/>
  <c r="H25" i="9"/>
  <c r="G25" i="9"/>
  <c r="D25" i="9"/>
  <c r="K25" i="9" s="1"/>
  <c r="J24" i="9"/>
  <c r="H24" i="9"/>
  <c r="I24" i="9" s="1"/>
  <c r="G24" i="9"/>
  <c r="D24" i="9"/>
  <c r="K24" i="9" s="1"/>
  <c r="J23" i="9"/>
  <c r="I23" i="9"/>
  <c r="H23" i="9"/>
  <c r="G23" i="9"/>
  <c r="D23" i="9"/>
  <c r="K23" i="9" s="1"/>
  <c r="J22" i="9"/>
  <c r="H22" i="9"/>
  <c r="I22" i="9" s="1"/>
  <c r="G22" i="9"/>
  <c r="D22" i="9"/>
  <c r="K22" i="9" s="1"/>
  <c r="J21" i="9"/>
  <c r="I21" i="9"/>
  <c r="H21" i="9"/>
  <c r="G21" i="9"/>
  <c r="D21" i="9"/>
  <c r="K21" i="9" s="1"/>
  <c r="K20" i="9"/>
  <c r="J20" i="9"/>
  <c r="H20" i="9"/>
  <c r="I20" i="9" s="1"/>
  <c r="G20" i="9"/>
  <c r="D20" i="9"/>
  <c r="J19" i="9"/>
  <c r="I19" i="9"/>
  <c r="H19" i="9"/>
  <c r="G19" i="9"/>
  <c r="D19" i="9"/>
  <c r="K19" i="9" s="1"/>
  <c r="K18" i="9"/>
  <c r="J18" i="9"/>
  <c r="H18" i="9"/>
  <c r="I18" i="9" s="1"/>
  <c r="G18" i="9"/>
  <c r="D18" i="9"/>
  <c r="J17" i="9"/>
  <c r="I17" i="9"/>
  <c r="H17" i="9"/>
  <c r="G17" i="9"/>
  <c r="D17" i="9"/>
  <c r="K17" i="9" s="1"/>
  <c r="J16" i="9"/>
  <c r="H16" i="9"/>
  <c r="I16" i="9" s="1"/>
  <c r="G16" i="9"/>
  <c r="D16" i="9"/>
  <c r="K16" i="9" s="1"/>
  <c r="J15" i="9"/>
  <c r="I15" i="9"/>
  <c r="H15" i="9"/>
  <c r="G15" i="9"/>
  <c r="D15" i="9"/>
  <c r="K15" i="9" s="1"/>
  <c r="J14" i="9"/>
  <c r="H14" i="9"/>
  <c r="I14" i="9" s="1"/>
  <c r="G14" i="9"/>
  <c r="D14" i="9"/>
  <c r="K14" i="9" s="1"/>
  <c r="J13" i="9"/>
  <c r="I13" i="9"/>
  <c r="H13" i="9"/>
  <c r="G13" i="9"/>
  <c r="D13" i="9"/>
  <c r="K13" i="9" s="1"/>
  <c r="K12" i="9"/>
  <c r="J12" i="9"/>
  <c r="H12" i="9"/>
  <c r="I12" i="9" s="1"/>
  <c r="G12" i="9"/>
  <c r="D12" i="9"/>
  <c r="J11" i="9"/>
  <c r="I11" i="9"/>
  <c r="H11" i="9"/>
  <c r="G11" i="9"/>
  <c r="D11" i="9"/>
  <c r="K11" i="9" s="1"/>
  <c r="K10" i="9"/>
  <c r="J10" i="9"/>
  <c r="H10" i="9"/>
  <c r="I10" i="9" s="1"/>
  <c r="G10" i="9"/>
  <c r="D10" i="9"/>
  <c r="J9" i="9"/>
  <c r="I9" i="9"/>
  <c r="H9" i="9"/>
  <c r="G9" i="9"/>
  <c r="D9" i="9"/>
  <c r="K9" i="9" s="1"/>
  <c r="J8" i="9"/>
  <c r="H8" i="9"/>
  <c r="I8" i="9" s="1"/>
  <c r="G8" i="9"/>
  <c r="D8" i="9"/>
  <c r="K8" i="9" s="1"/>
  <c r="J9" i="1" l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8" i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8" i="1"/>
  <c r="I8" i="1" s="1"/>
  <c r="G9" i="1" l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8" i="1"/>
  <c r="D9" i="1"/>
  <c r="K9" i="1" s="1"/>
  <c r="D10" i="1"/>
  <c r="K10" i="1" s="1"/>
  <c r="D11" i="1"/>
  <c r="K11" i="1" s="1"/>
  <c r="D12" i="1"/>
  <c r="K12" i="1" s="1"/>
  <c r="D13" i="1"/>
  <c r="K13" i="1" s="1"/>
  <c r="D14" i="1"/>
  <c r="K14" i="1" s="1"/>
  <c r="D15" i="1"/>
  <c r="K15" i="1" s="1"/>
  <c r="D16" i="1"/>
  <c r="K16" i="1" s="1"/>
  <c r="D17" i="1"/>
  <c r="K17" i="1" s="1"/>
  <c r="D18" i="1"/>
  <c r="K18" i="1" s="1"/>
  <c r="D19" i="1"/>
  <c r="K19" i="1" s="1"/>
  <c r="D20" i="1"/>
  <c r="K20" i="1" s="1"/>
  <c r="D21" i="1"/>
  <c r="K21" i="1" s="1"/>
  <c r="D22" i="1"/>
  <c r="K22" i="1" s="1"/>
  <c r="D23" i="1"/>
  <c r="K23" i="1" s="1"/>
  <c r="D24" i="1"/>
  <c r="K24" i="1" s="1"/>
  <c r="D25" i="1"/>
  <c r="K25" i="1" s="1"/>
  <c r="D26" i="1"/>
  <c r="K26" i="1" s="1"/>
  <c r="D27" i="1"/>
  <c r="K27" i="1" s="1"/>
  <c r="D28" i="1"/>
  <c r="K28" i="1" s="1"/>
  <c r="D29" i="1"/>
  <c r="K29" i="1" s="1"/>
  <c r="D30" i="1"/>
  <c r="K30" i="1" s="1"/>
  <c r="D31" i="1"/>
  <c r="K31" i="1" s="1"/>
  <c r="D32" i="1"/>
  <c r="K32" i="1" s="1"/>
  <c r="D33" i="1"/>
  <c r="K33" i="1" s="1"/>
  <c r="D34" i="1"/>
  <c r="K34" i="1" s="1"/>
  <c r="D35" i="1"/>
  <c r="K35" i="1" s="1"/>
  <c r="D36" i="1"/>
  <c r="K36" i="1" s="1"/>
  <c r="D37" i="1"/>
  <c r="K37" i="1" s="1"/>
  <c r="D38" i="1"/>
  <c r="K38" i="1" s="1"/>
  <c r="D39" i="1"/>
  <c r="K39" i="1" s="1"/>
  <c r="D40" i="1"/>
  <c r="K40" i="1" s="1"/>
  <c r="D41" i="1"/>
  <c r="K41" i="1" s="1"/>
  <c r="D42" i="1"/>
  <c r="K42" i="1" s="1"/>
  <c r="D8" i="1"/>
  <c r="K8" i="1" s="1"/>
</calcChain>
</file>

<file path=xl/sharedStrings.xml><?xml version="1.0" encoding="utf-8"?>
<sst xmlns="http://schemas.openxmlformats.org/spreadsheetml/2006/main" count="335" uniqueCount="184">
  <si>
    <t>Segment</t>
  </si>
  <si>
    <t>Segment Types</t>
  </si>
  <si>
    <t>VarTypes</t>
  </si>
  <si>
    <t>char</t>
  </si>
  <si>
    <t>uint8_t</t>
  </si>
  <si>
    <t>int8_t</t>
  </si>
  <si>
    <t>uint16_t</t>
  </si>
  <si>
    <t>int16_t</t>
  </si>
  <si>
    <t>uint32_t</t>
  </si>
  <si>
    <t>int32_t</t>
  </si>
  <si>
    <t>uint64_t</t>
  </si>
  <si>
    <t>int64_t</t>
  </si>
  <si>
    <t>varSizes</t>
  </si>
  <si>
    <t>float</t>
  </si>
  <si>
    <t>double</t>
  </si>
  <si>
    <t>Flavor</t>
  </si>
  <si>
    <t>SegmentFlavor</t>
  </si>
  <si>
    <t>RAM_ONLY</t>
  </si>
  <si>
    <t>EEPROM_ONLY</t>
  </si>
  <si>
    <t>SHADOWED_EEPROM</t>
  </si>
  <si>
    <t>SegmentPrefix</t>
  </si>
  <si>
    <t>long double</t>
  </si>
  <si>
    <t>bool</t>
  </si>
  <si>
    <t>svAdd</t>
  </si>
  <si>
    <t>RefreshTime (sec)</t>
  </si>
  <si>
    <t>Applicable for EEPROM only</t>
  </si>
  <si>
    <t>Applicable for EEPROM only, 0-On Demand, other value - sec</t>
  </si>
  <si>
    <t>varType</t>
  </si>
  <si>
    <t>varName</t>
  </si>
  <si>
    <t>varDesc</t>
  </si>
  <si>
    <t>varSuffixes</t>
  </si>
  <si>
    <t>b</t>
  </si>
  <si>
    <t>c</t>
  </si>
  <si>
    <t>f</t>
  </si>
  <si>
    <t>d</t>
  </si>
  <si>
    <t>u8</t>
  </si>
  <si>
    <t>s8</t>
  </si>
  <si>
    <t>u16</t>
  </si>
  <si>
    <t>s16</t>
  </si>
  <si>
    <t>u32</t>
  </si>
  <si>
    <t>s32</t>
  </si>
  <si>
    <t>u64</t>
  </si>
  <si>
    <t>s64</t>
  </si>
  <si>
    <t>ld</t>
  </si>
  <si>
    <t>add</t>
  </si>
  <si>
    <t>Segment Count</t>
  </si>
  <si>
    <t>Results</t>
  </si>
  <si>
    <t>BMS</t>
  </si>
  <si>
    <t>Offset Address</t>
  </si>
  <si>
    <t>YES</t>
  </si>
  <si>
    <t>NO</t>
  </si>
  <si>
    <t>Packed Storage</t>
  </si>
  <si>
    <t>Product Name</t>
  </si>
  <si>
    <t>WCBMS</t>
  </si>
  <si>
    <t>Critical Context Data</t>
  </si>
  <si>
    <t>Non Critical Setup Information</t>
  </si>
  <si>
    <t>24C16</t>
  </si>
  <si>
    <t>Enable Segment Type Prefix</t>
  </si>
  <si>
    <t>Page Size</t>
  </si>
  <si>
    <t>Enable Segment Name Prefix</t>
  </si>
  <si>
    <t>EEPROM</t>
  </si>
  <si>
    <t>CONFIGURATION</t>
  </si>
  <si>
    <t>PERFORMANCE</t>
  </si>
  <si>
    <t>CALIBRATION</t>
  </si>
  <si>
    <t>Comment</t>
  </si>
  <si>
    <t>Radices</t>
  </si>
  <si>
    <t>HEX</t>
  </si>
  <si>
    <t>DEC</t>
  </si>
  <si>
    <t>varDepth</t>
  </si>
  <si>
    <t>EEPROM Max Address</t>
  </si>
  <si>
    <t>Depth</t>
  </si>
  <si>
    <t>&lt;SECTION&gt;</t>
  </si>
  <si>
    <t>SEGMENT</t>
  </si>
  <si>
    <t>CONF</t>
  </si>
  <si>
    <t>CAL</t>
  </si>
  <si>
    <t>MODULE_BATT_1</t>
  </si>
  <si>
    <t>MODULE_BATT_2</t>
  </si>
  <si>
    <t>MODULE_BATT_3</t>
  </si>
  <si>
    <t>MODULE_BATT_4</t>
  </si>
  <si>
    <t>MODULE_BATT_5</t>
  </si>
  <si>
    <t>MODULE_BATT_6</t>
  </si>
  <si>
    <t>MODULE_BATT_7</t>
  </si>
  <si>
    <t>MODULE_BATT_8</t>
  </si>
  <si>
    <t>MODULE_BATT_9</t>
  </si>
  <si>
    <t>MODULE_BATT_10</t>
  </si>
  <si>
    <t>MODULE_BATT_11</t>
  </si>
  <si>
    <t>MODULE_BATT_12</t>
  </si>
  <si>
    <t>MODULE_BATT_13</t>
  </si>
  <si>
    <t>MODULE_BATT_14</t>
  </si>
  <si>
    <t>MODULE_BATT_15</t>
  </si>
  <si>
    <t>MODULE_BATT_16</t>
  </si>
  <si>
    <t>MODULE_BATT_17</t>
  </si>
  <si>
    <t>MODULE_BATT_18</t>
  </si>
  <si>
    <t>MODULE_BATT_19</t>
  </si>
  <si>
    <t>MODULE_BATT_20</t>
  </si>
  <si>
    <t>MODULE_BATT_21</t>
  </si>
  <si>
    <t>MODULE_BATT_22</t>
  </si>
  <si>
    <t>MODULE_BATT_23</t>
  </si>
  <si>
    <t>MODULE_BATT_24</t>
  </si>
  <si>
    <t>MODULE_BATT_25</t>
  </si>
  <si>
    <t>MODULE_BATT_26</t>
  </si>
  <si>
    <t>MODULE_BATT_27</t>
  </si>
  <si>
    <t>MODULE_BATT_28</t>
  </si>
  <si>
    <t>MODULE_BATT_29</t>
  </si>
  <si>
    <t>MODULE_BATT_30</t>
  </si>
  <si>
    <t>MODULE_BATT_31</t>
  </si>
  <si>
    <t>MODULE_BATT_32</t>
  </si>
  <si>
    <t>MODULE_BATT_33</t>
  </si>
  <si>
    <t>MODULE_BATT_34</t>
  </si>
  <si>
    <t>MODULE_BATT_35</t>
  </si>
  <si>
    <t>Module_ADC_1</t>
  </si>
  <si>
    <t>Module_ADC_2</t>
  </si>
  <si>
    <t>Module_ADC_3</t>
  </si>
  <si>
    <t>Module_ADC_4</t>
  </si>
  <si>
    <t>Module_ADC_5</t>
  </si>
  <si>
    <t>Module_ADC_6</t>
  </si>
  <si>
    <t>Module_ADC_7</t>
  </si>
  <si>
    <t>Module_ADC_8</t>
  </si>
  <si>
    <t>Module_ADC_9</t>
  </si>
  <si>
    <t>Module_ADC_10</t>
  </si>
  <si>
    <t>Module_ADC_11</t>
  </si>
  <si>
    <t>Module_ADC_12</t>
  </si>
  <si>
    <t>Module_ADC_13</t>
  </si>
  <si>
    <t>Module_ADC_14</t>
  </si>
  <si>
    <t>Module_ADC_15</t>
  </si>
  <si>
    <t>Module_ADC_16</t>
  </si>
  <si>
    <t>Module_ADC_17</t>
  </si>
  <si>
    <t>Module_ADC_18</t>
  </si>
  <si>
    <t>Module_ADC_19</t>
  </si>
  <si>
    <t>Module_ADC_20</t>
  </si>
  <si>
    <t>Module_ADC_21</t>
  </si>
  <si>
    <t>Module_ADC_22</t>
  </si>
  <si>
    <t>Module_ADC_23</t>
  </si>
  <si>
    <t>Module_ADC_24</t>
  </si>
  <si>
    <t>Module_ADC_25</t>
  </si>
  <si>
    <t>Module_ADC_26</t>
  </si>
  <si>
    <t>Module_ADC_27</t>
  </si>
  <si>
    <t>Module_ADC_28</t>
  </si>
  <si>
    <t>Module_ADC_29</t>
  </si>
  <si>
    <t>Module_ADC_30</t>
  </si>
  <si>
    <t>Module_ADC_31</t>
  </si>
  <si>
    <t>Module_ADC_32</t>
  </si>
  <si>
    <t>Module_ADC_33</t>
  </si>
  <si>
    <t>Module_ADC_34</t>
  </si>
  <si>
    <t>Module_ADC_35</t>
  </si>
  <si>
    <t>Module_Settings_1</t>
  </si>
  <si>
    <t>Module_Settings_2</t>
  </si>
  <si>
    <t>Module_Settings_3</t>
  </si>
  <si>
    <t>Module_Settings_4</t>
  </si>
  <si>
    <t>Module_Settings_5</t>
  </si>
  <si>
    <t>Module_Settings_6</t>
  </si>
  <si>
    <t>Module_Settings_7</t>
  </si>
  <si>
    <t>Module_Settings_8</t>
  </si>
  <si>
    <t>Module_Settings_9</t>
  </si>
  <si>
    <t>Module_Settings_10</t>
  </si>
  <si>
    <t>Module_Settings_11</t>
  </si>
  <si>
    <t>Module_Settings_12</t>
  </si>
  <si>
    <t>Module_Settings_13</t>
  </si>
  <si>
    <t>Module_Settings_14</t>
  </si>
  <si>
    <t>Module_Settings_15</t>
  </si>
  <si>
    <t>Module_Settings_16</t>
  </si>
  <si>
    <t>Module_Settings_17</t>
  </si>
  <si>
    <t>Module_Settings_18</t>
  </si>
  <si>
    <t>Module_Settings_19</t>
  </si>
  <si>
    <t>Module_Settings_20</t>
  </si>
  <si>
    <t>Module_Settings_21</t>
  </si>
  <si>
    <t>Module_Settings_22</t>
  </si>
  <si>
    <t>Module_Settings_23</t>
  </si>
  <si>
    <t>Module_Settings_24</t>
  </si>
  <si>
    <t>Module_Settings_25</t>
  </si>
  <si>
    <t>Module_Settings_26</t>
  </si>
  <si>
    <t>Module_Settings_27</t>
  </si>
  <si>
    <t>Module_Settings_28</t>
  </si>
  <si>
    <t>Module_Settings_29</t>
  </si>
  <si>
    <t>Module_Settings_30</t>
  </si>
  <si>
    <t>Module_Settings_31</t>
  </si>
  <si>
    <t>Module_Settings_32</t>
  </si>
  <si>
    <t>Module_Settings_33</t>
  </si>
  <si>
    <t>Module_Settings_34</t>
  </si>
  <si>
    <t>Module_Settings_35</t>
  </si>
  <si>
    <t>TypeSize</t>
  </si>
  <si>
    <t>TotalSize</t>
  </si>
  <si>
    <t>FinalName</t>
  </si>
  <si>
    <t>Enable HEX Addresses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</si>
</sst>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Border="1"/>
    <xf numFmtId="0" fontId="1" fillId="0" borderId="0" xfId="0" applyFont="1" applyBorder="1"/>
    <xf numFmtId="0" fontId="0" fillId="4" borderId="1" xfId="0" applyFill="1" applyBorder="1"/>
    <xf numFmtId="0" fontId="1" fillId="0" borderId="1" xfId="0" applyFont="1" applyFill="1" applyBorder="1"/>
    <xf numFmtId="0" fontId="0" fillId="0" borderId="0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/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61D6F-539A-4564-B6A8-050E0FE4AE6E}">
  <dimension ref="A1:G50"/>
  <sheetViews>
    <sheetView tabSelected="1" workbookViewId="0">
      <selection activeCell="F9" sqref="F9"/>
    </sheetView>
  </sheetViews>
  <sheetFormatPr defaultRowHeight="14.4" x14ac:dyDescent="0.3"/>
  <cols>
    <col min="1" max="1" width="27.77734375" style="3" customWidth="1"/>
    <col min="2" max="2" width="34.77734375" style="17" customWidth="1"/>
    <col min="3" max="3" width="8.88671875" style="8"/>
    <col min="5" max="5" width="20.6640625" customWidth="1"/>
    <col min="6" max="6" width="18" customWidth="1"/>
    <col min="7" max="7" width="43.33203125" customWidth="1"/>
    <col min="8" max="8" width="12.21875" customWidth="1"/>
  </cols>
  <sheetData>
    <row r="1" spans="1:7" x14ac:dyDescent="0.3">
      <c r="A1" s="16" t="s">
        <v>71</v>
      </c>
      <c r="B1" s="19" t="s">
        <v>55</v>
      </c>
      <c r="G1" s="6"/>
    </row>
    <row r="2" spans="1:7" x14ac:dyDescent="0.3">
      <c r="A2" s="2" t="s">
        <v>52</v>
      </c>
      <c r="B2" s="17" t="s">
        <v>53</v>
      </c>
      <c r="F2" s="1"/>
      <c r="G2" s="7"/>
    </row>
    <row r="3" spans="1:7" x14ac:dyDescent="0.3">
      <c r="A3" s="2" t="s">
        <v>60</v>
      </c>
      <c r="B3" s="17" t="s">
        <v>56</v>
      </c>
      <c r="F3" s="1"/>
      <c r="G3" s="7"/>
    </row>
    <row r="4" spans="1:7" x14ac:dyDescent="0.3">
      <c r="A4" s="18" t="s">
        <v>71</v>
      </c>
      <c r="B4" s="20" t="s">
        <v>54</v>
      </c>
      <c r="F4" s="5"/>
      <c r="G4" s="7"/>
    </row>
    <row r="5" spans="1:7" x14ac:dyDescent="0.3">
      <c r="A5" s="2" t="s">
        <v>45</v>
      </c>
      <c r="B5" s="17">
        <v>1</v>
      </c>
      <c r="F5" s="5"/>
      <c r="G5" s="7"/>
    </row>
    <row r="6" spans="1:7" x14ac:dyDescent="0.3">
      <c r="A6" s="2" t="s">
        <v>58</v>
      </c>
      <c r="B6" s="17">
        <v>128</v>
      </c>
    </row>
    <row r="7" spans="1:7" x14ac:dyDescent="0.3">
      <c r="A7" s="2" t="s">
        <v>51</v>
      </c>
      <c r="B7" s="17">
        <v>0</v>
      </c>
    </row>
    <row r="8" spans="1:7" x14ac:dyDescent="0.3">
      <c r="A8" s="2" t="s">
        <v>57</v>
      </c>
      <c r="B8" s="17">
        <v>0</v>
      </c>
    </row>
    <row r="9" spans="1:7" x14ac:dyDescent="0.3">
      <c r="A9" s="2" t="s">
        <v>59</v>
      </c>
      <c r="B9" s="17">
        <v>0</v>
      </c>
    </row>
    <row r="10" spans="1:7" x14ac:dyDescent="0.3">
      <c r="A10" s="2" t="s">
        <v>183</v>
      </c>
      <c r="B10" s="14">
        <v>1</v>
      </c>
    </row>
    <row r="11" spans="1:7" x14ac:dyDescent="0.3">
      <c r="A11" s="2" t="s">
        <v>69</v>
      </c>
      <c r="B11" s="14">
        <v>65535</v>
      </c>
    </row>
    <row r="12" spans="1:7" x14ac:dyDescent="0.3">
      <c r="A12" s="2"/>
      <c r="B12" s="14"/>
      <c r="C12" s="9"/>
    </row>
    <row r="13" spans="1:7" x14ac:dyDescent="0.3">
      <c r="A13" s="2"/>
      <c r="B13" s="14"/>
    </row>
    <row r="14" spans="1:7" x14ac:dyDescent="0.3">
      <c r="A14" s="2"/>
      <c r="B14" s="14"/>
      <c r="C14" s="9"/>
    </row>
    <row r="15" spans="1:7" x14ac:dyDescent="0.3">
      <c r="A15" s="2"/>
      <c r="B15" s="15"/>
      <c r="C15" s="9"/>
      <c r="D15" s="1"/>
    </row>
    <row r="16" spans="1:7" x14ac:dyDescent="0.3">
      <c r="B16" s="14"/>
    </row>
    <row r="17" spans="2:2" x14ac:dyDescent="0.3">
      <c r="B17" s="14"/>
    </row>
    <row r="18" spans="2:2" x14ac:dyDescent="0.3">
      <c r="B18" s="14"/>
    </row>
    <row r="19" spans="2:2" x14ac:dyDescent="0.3">
      <c r="B19" s="14"/>
    </row>
    <row r="20" spans="2:2" x14ac:dyDescent="0.3">
      <c r="B20" s="14"/>
    </row>
    <row r="21" spans="2:2" x14ac:dyDescent="0.3">
      <c r="B21" s="14"/>
    </row>
    <row r="22" spans="2:2" x14ac:dyDescent="0.3">
      <c r="B22" s="14"/>
    </row>
    <row r="23" spans="2:2" x14ac:dyDescent="0.3">
      <c r="B23" s="14"/>
    </row>
    <row r="24" spans="2:2" x14ac:dyDescent="0.3">
      <c r="B24" s="14"/>
    </row>
    <row r="25" spans="2:2" x14ac:dyDescent="0.3">
      <c r="B25" s="14"/>
    </row>
    <row r="26" spans="2:2" x14ac:dyDescent="0.3">
      <c r="B26" s="14"/>
    </row>
    <row r="27" spans="2:2" x14ac:dyDescent="0.3">
      <c r="B27" s="14"/>
    </row>
    <row r="28" spans="2:2" x14ac:dyDescent="0.3">
      <c r="B28" s="14"/>
    </row>
    <row r="29" spans="2:2" x14ac:dyDescent="0.3">
      <c r="B29" s="14"/>
    </row>
    <row r="30" spans="2:2" x14ac:dyDescent="0.3">
      <c r="B30" s="14"/>
    </row>
    <row r="31" spans="2:2" x14ac:dyDescent="0.3">
      <c r="B31" s="14"/>
    </row>
    <row r="32" spans="2:2" x14ac:dyDescent="0.3">
      <c r="B32" s="14"/>
    </row>
    <row r="33" spans="2:2" x14ac:dyDescent="0.3">
      <c r="B33" s="14"/>
    </row>
    <row r="34" spans="2:2" x14ac:dyDescent="0.3">
      <c r="B34" s="14"/>
    </row>
    <row r="35" spans="2:2" x14ac:dyDescent="0.3">
      <c r="B35" s="14"/>
    </row>
    <row r="36" spans="2:2" x14ac:dyDescent="0.3">
      <c r="B36" s="14"/>
    </row>
    <row r="37" spans="2:2" x14ac:dyDescent="0.3">
      <c r="B37" s="14"/>
    </row>
    <row r="38" spans="2:2" x14ac:dyDescent="0.3">
      <c r="B38" s="14"/>
    </row>
    <row r="39" spans="2:2" x14ac:dyDescent="0.3">
      <c r="B39" s="14"/>
    </row>
    <row r="40" spans="2:2" x14ac:dyDescent="0.3">
      <c r="B40" s="14"/>
    </row>
    <row r="41" spans="2:2" x14ac:dyDescent="0.3">
      <c r="B41" s="14"/>
    </row>
    <row r="42" spans="2:2" x14ac:dyDescent="0.3">
      <c r="B42" s="14"/>
    </row>
    <row r="43" spans="2:2" x14ac:dyDescent="0.3">
      <c r="B43" s="14"/>
    </row>
    <row r="44" spans="2:2" x14ac:dyDescent="0.3">
      <c r="B44" s="14"/>
    </row>
    <row r="45" spans="2:2" x14ac:dyDescent="0.3">
      <c r="B45" s="14"/>
    </row>
    <row r="46" spans="2:2" x14ac:dyDescent="0.3">
      <c r="B46" s="14"/>
    </row>
    <row r="47" spans="2:2" x14ac:dyDescent="0.3">
      <c r="B47" s="14"/>
    </row>
    <row r="48" spans="2:2" x14ac:dyDescent="0.3">
      <c r="B48" s="14"/>
    </row>
    <row r="49" spans="2:2" x14ac:dyDescent="0.3">
      <c r="B49" s="14"/>
    </row>
    <row r="50" spans="2:2" x14ac:dyDescent="0.3">
      <c r="B50" s="14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7E49957-E7A0-4D58-B031-DA26ADE3034B}">
          <x14:formula1>
            <xm:f>misc!$C$2:$C$22</xm:f>
          </x14:formula1>
          <xm:sqref>A16:A50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workbookViewId="0">
      <selection activeCell="G7" sqref="G6:K7"/>
    </sheetView>
  </sheetViews>
  <sheetFormatPr defaultRowHeight="14.4" x14ac:dyDescent="0.3"/>
  <cols>
    <col min="1" max="1" width="19.33203125" customWidth="1"/>
    <col min="2" max="2" width="25.88671875" customWidth="1"/>
    <col min="3" max="3" width="9.88671875" customWidth="1"/>
    <col min="4" max="4" width="43.44140625" customWidth="1"/>
    <col min="5" max="5" width="11.6640625" customWidth="1"/>
    <col min="6" max="6" width="7.44140625" customWidth="1"/>
    <col min="7" max="7" width="33.6640625" style="3" customWidth="1"/>
    <col min="8" max="8" width="7.88671875" style="14" customWidth="1"/>
    <col min="9" max="9" width="8.77734375" style="14" customWidth="1"/>
    <col min="10" max="10" width="6.5546875" style="14" customWidth="1"/>
    <col min="11" max="11" width="26" style="3" customWidth="1"/>
  </cols>
  <sheetData>
    <row r="1" spans="1:11" x14ac:dyDescent="0.3">
      <c r="A1" s="16" t="s">
        <v>71</v>
      </c>
      <c r="B1" s="19" t="s">
        <v>72</v>
      </c>
      <c r="G1" s="8"/>
      <c r="H1" s="12"/>
      <c r="I1" s="12"/>
      <c r="J1" s="12"/>
      <c r="K1" s="8"/>
    </row>
    <row r="2" spans="1:11" x14ac:dyDescent="0.3">
      <c r="A2" s="1" t="s">
        <v>0</v>
      </c>
      <c r="B2" t="s">
        <v>61</v>
      </c>
      <c r="G2" s="8"/>
      <c r="H2" s="12"/>
      <c r="I2" s="12"/>
      <c r="J2" s="12"/>
      <c r="K2" s="8"/>
    </row>
    <row r="3" spans="1:11" x14ac:dyDescent="0.3">
      <c r="A3" s="1" t="s">
        <v>15</v>
      </c>
      <c r="B3" t="s">
        <v>19</v>
      </c>
      <c r="G3" s="8"/>
      <c r="H3" s="12"/>
      <c r="I3" s="12"/>
      <c r="J3" s="12"/>
      <c r="K3" s="8"/>
    </row>
    <row r="4" spans="1:11" x14ac:dyDescent="0.3">
      <c r="A4" s="1" t="s">
        <v>48</v>
      </c>
      <c r="B4" s="4">
        <v>0</v>
      </c>
      <c r="C4" s="1" t="s">
        <v>25</v>
      </c>
      <c r="G4" s="8"/>
      <c r="H4" s="12"/>
      <c r="I4" s="12"/>
      <c r="J4" s="12"/>
      <c r="K4" s="8"/>
    </row>
    <row r="5" spans="1:11" x14ac:dyDescent="0.3">
      <c r="A5" s="1" t="s">
        <v>20</v>
      </c>
      <c r="B5" s="4" t="s">
        <v>73</v>
      </c>
      <c r="G5" s="8"/>
      <c r="H5" s="12"/>
      <c r="I5" s="12"/>
      <c r="J5" s="12"/>
      <c r="K5" s="8"/>
    </row>
    <row r="6" spans="1:11" x14ac:dyDescent="0.3">
      <c r="A6" s="1" t="s">
        <v>24</v>
      </c>
      <c r="B6" s="4">
        <v>0</v>
      </c>
      <c r="C6" s="1" t="s">
        <v>26</v>
      </c>
      <c r="G6" s="21" t="s">
        <v>46</v>
      </c>
      <c r="H6" s="21"/>
      <c r="I6" s="21"/>
      <c r="J6" s="21"/>
      <c r="K6" s="21"/>
    </row>
    <row r="7" spans="1:11" x14ac:dyDescent="0.3">
      <c r="A7" s="1" t="s">
        <v>27</v>
      </c>
      <c r="B7" s="1" t="s">
        <v>28</v>
      </c>
      <c r="C7" s="1" t="s">
        <v>68</v>
      </c>
      <c r="D7" s="1" t="s">
        <v>29</v>
      </c>
      <c r="E7" s="1"/>
      <c r="G7" s="2" t="s">
        <v>182</v>
      </c>
      <c r="H7" s="13" t="s">
        <v>180</v>
      </c>
      <c r="I7" s="13" t="s">
        <v>181</v>
      </c>
      <c r="J7" s="13" t="s">
        <v>70</v>
      </c>
      <c r="K7" s="11" t="s">
        <v>64</v>
      </c>
    </row>
    <row r="8" spans="1:11" x14ac:dyDescent="0.3">
      <c r="A8" t="s">
        <v>4</v>
      </c>
      <c r="B8" t="s">
        <v>145</v>
      </c>
      <c r="C8">
        <v>10</v>
      </c>
      <c r="D8" t="str">
        <f t="shared" ref="D8:D42" si="0">CONCATENATE(B8,"  variable")</f>
        <v>Module_Settings_1  variable</v>
      </c>
      <c r="G8" s="10" t="str">
        <f>CONCATENATE("SVAR_",$B$5,"_",B8,"_",VLOOKUP(A8,misc!$C$2:$E$15,3,FALSE))</f>
        <v>SVAR_CONF_Module_Settings_1_u8</v>
      </c>
      <c r="H8" s="14">
        <f>(VLOOKUP(A8, misc!$C$2:$D$28, 2, FALSE))</f>
        <v>1</v>
      </c>
      <c r="I8" s="14">
        <f>H8* C8</f>
        <v>10</v>
      </c>
      <c r="J8" s="14">
        <f>C8</f>
        <v>10</v>
      </c>
      <c r="K8" s="3" t="str">
        <f>D8</f>
        <v>Module_Settings_1  variable</v>
      </c>
    </row>
    <row r="9" spans="1:11" x14ac:dyDescent="0.3">
      <c r="A9" t="s">
        <v>4</v>
      </c>
      <c r="B9" t="s">
        <v>146</v>
      </c>
      <c r="C9">
        <v>1</v>
      </c>
      <c r="D9" t="str">
        <f t="shared" si="0"/>
        <v>Module_Settings_2  variable</v>
      </c>
      <c r="G9" s="3" t="str">
        <f>CONCATENATE("SVAR_",$B$5,"_",B9,"_",VLOOKUP(A9,misc!$C$2:$E$15,3,FALSE))</f>
        <v>SVAR_CONF_Module_Settings_2_u8</v>
      </c>
      <c r="H9" s="14">
        <f>(VLOOKUP(A9, misc!$C$2:$D$28, 2, FALSE))</f>
        <v>1</v>
      </c>
      <c r="I9" s="14">
        <f t="shared" ref="I9:I42" si="1">H9* C9</f>
        <v>1</v>
      </c>
      <c r="J9" s="14">
        <f t="shared" ref="J9:J42" si="2">C9</f>
        <v>1</v>
      </c>
      <c r="K9" s="3" t="str">
        <f t="shared" ref="K9:K42" si="3">D9</f>
        <v>Module_Settings_2  variable</v>
      </c>
    </row>
    <row r="10" spans="1:11" x14ac:dyDescent="0.3">
      <c r="A10" t="s">
        <v>4</v>
      </c>
      <c r="B10" t="s">
        <v>147</v>
      </c>
      <c r="C10">
        <v>1</v>
      </c>
      <c r="D10" t="str">
        <f t="shared" si="0"/>
        <v>Module_Settings_3  variable</v>
      </c>
      <c r="G10" s="3" t="str">
        <f>CONCATENATE("SVAR_",$B$5,"_",B10,"_",VLOOKUP(A10,misc!$C$2:$E$15,3,FALSE))</f>
        <v>SVAR_CONF_Module_Settings_3_u8</v>
      </c>
      <c r="H10" s="14">
        <f>(VLOOKUP(A10, misc!$C$2:$D$28, 2, FALSE))</f>
        <v>1</v>
      </c>
      <c r="I10" s="14">
        <f t="shared" si="1"/>
        <v>1</v>
      </c>
      <c r="J10" s="14">
        <f t="shared" si="2"/>
        <v>1</v>
      </c>
      <c r="K10" s="3" t="str">
        <f t="shared" si="3"/>
        <v>Module_Settings_3  variable</v>
      </c>
    </row>
    <row r="11" spans="1:11" x14ac:dyDescent="0.3">
      <c r="A11" t="s">
        <v>7</v>
      </c>
      <c r="B11" t="s">
        <v>148</v>
      </c>
      <c r="C11">
        <v>1</v>
      </c>
      <c r="D11" t="str">
        <f t="shared" si="0"/>
        <v>Module_Settings_4  variable</v>
      </c>
      <c r="G11" s="3" t="str">
        <f>CONCATENATE("SVAR_",$B$5,"_",B11,"_",VLOOKUP(A11,misc!$C$2:$E$15,3,FALSE))</f>
        <v>SVAR_CONF_Module_Settings_4_s16</v>
      </c>
      <c r="H11" s="14">
        <f>(VLOOKUP(A11, misc!$C$2:$D$28, 2, FALSE))</f>
        <v>2</v>
      </c>
      <c r="I11" s="14">
        <f t="shared" si="1"/>
        <v>2</v>
      </c>
      <c r="J11" s="14">
        <f t="shared" si="2"/>
        <v>1</v>
      </c>
      <c r="K11" s="3" t="str">
        <f t="shared" si="3"/>
        <v>Module_Settings_4  variable</v>
      </c>
    </row>
    <row r="12" spans="1:11" x14ac:dyDescent="0.3">
      <c r="A12" t="s">
        <v>4</v>
      </c>
      <c r="B12" t="s">
        <v>149</v>
      </c>
      <c r="C12">
        <v>1</v>
      </c>
      <c r="D12" t="str">
        <f t="shared" si="0"/>
        <v>Module_Settings_5  variable</v>
      </c>
      <c r="G12" s="3" t="str">
        <f>CONCATENATE("SVAR_",$B$5,"_",B12,"_",VLOOKUP(A12,misc!$C$2:$E$15,3,FALSE))</f>
        <v>SVAR_CONF_Module_Settings_5_u8</v>
      </c>
      <c r="H12" s="14">
        <f>(VLOOKUP(A12, misc!$C$2:$D$28, 2, FALSE))</f>
        <v>1</v>
      </c>
      <c r="I12" s="14">
        <f t="shared" si="1"/>
        <v>1</v>
      </c>
      <c r="J12" s="14">
        <f t="shared" si="2"/>
        <v>1</v>
      </c>
      <c r="K12" s="3" t="str">
        <f t="shared" si="3"/>
        <v>Module_Settings_5  variable</v>
      </c>
    </row>
    <row r="13" spans="1:11" x14ac:dyDescent="0.3">
      <c r="A13" t="s">
        <v>4</v>
      </c>
      <c r="B13" t="s">
        <v>150</v>
      </c>
      <c r="C13">
        <v>1</v>
      </c>
      <c r="D13" t="str">
        <f t="shared" si="0"/>
        <v>Module_Settings_6  variable</v>
      </c>
      <c r="G13" s="3" t="str">
        <f>CONCATENATE("SVAR_",$B$5,"_",B13,"_",VLOOKUP(A13,misc!$C$2:$E$15,3,FALSE))</f>
        <v>SVAR_CONF_Module_Settings_6_u8</v>
      </c>
      <c r="H13" s="14">
        <f>(VLOOKUP(A13, misc!$C$2:$D$28, 2, FALSE))</f>
        <v>1</v>
      </c>
      <c r="I13" s="14">
        <f t="shared" si="1"/>
        <v>1</v>
      </c>
      <c r="J13" s="14">
        <f t="shared" si="2"/>
        <v>1</v>
      </c>
      <c r="K13" s="3" t="str">
        <f t="shared" si="3"/>
        <v>Module_Settings_6  variable</v>
      </c>
    </row>
    <row r="14" spans="1:11" x14ac:dyDescent="0.3">
      <c r="A14" t="s">
        <v>4</v>
      </c>
      <c r="B14" t="s">
        <v>151</v>
      </c>
      <c r="C14">
        <v>1</v>
      </c>
      <c r="D14" t="str">
        <f t="shared" si="0"/>
        <v>Module_Settings_7  variable</v>
      </c>
      <c r="G14" s="3" t="str">
        <f>CONCATENATE("SVAR_",$B$5,"_",B14,"_",VLOOKUP(A14,misc!$C$2:$E$15,3,FALSE))</f>
        <v>SVAR_CONF_Module_Settings_7_u8</v>
      </c>
      <c r="H14" s="14">
        <f>(VLOOKUP(A14, misc!$C$2:$D$28, 2, FALSE))</f>
        <v>1</v>
      </c>
      <c r="I14" s="14">
        <f t="shared" si="1"/>
        <v>1</v>
      </c>
      <c r="J14" s="14">
        <f t="shared" si="2"/>
        <v>1</v>
      </c>
      <c r="K14" s="3" t="str">
        <f t="shared" si="3"/>
        <v>Module_Settings_7  variable</v>
      </c>
    </row>
    <row r="15" spans="1:11" x14ac:dyDescent="0.3">
      <c r="A15" t="s">
        <v>4</v>
      </c>
      <c r="B15" t="s">
        <v>152</v>
      </c>
      <c r="C15">
        <v>1</v>
      </c>
      <c r="D15" t="str">
        <f t="shared" si="0"/>
        <v>Module_Settings_8  variable</v>
      </c>
      <c r="G15" s="3" t="str">
        <f>CONCATENATE("SVAR_",$B$5,"_",B15,"_",VLOOKUP(A15,misc!$C$2:$E$15,3,FALSE))</f>
        <v>SVAR_CONF_Module_Settings_8_u8</v>
      </c>
      <c r="H15" s="14">
        <f>(VLOOKUP(A15, misc!$C$2:$D$28, 2, FALSE))</f>
        <v>1</v>
      </c>
      <c r="I15" s="14">
        <f t="shared" si="1"/>
        <v>1</v>
      </c>
      <c r="J15" s="14">
        <f t="shared" si="2"/>
        <v>1</v>
      </c>
      <c r="K15" s="3" t="str">
        <f t="shared" si="3"/>
        <v>Module_Settings_8  variable</v>
      </c>
    </row>
    <row r="16" spans="1:11" x14ac:dyDescent="0.3">
      <c r="A16" t="s">
        <v>8</v>
      </c>
      <c r="B16" t="s">
        <v>153</v>
      </c>
      <c r="C16">
        <v>1</v>
      </c>
      <c r="D16" t="str">
        <f t="shared" si="0"/>
        <v>Module_Settings_9  variable</v>
      </c>
      <c r="G16" s="3" t="str">
        <f>CONCATENATE("SVAR_",$B$5,"_",B16,"_",VLOOKUP(A16,misc!$C$2:$E$15,3,FALSE))</f>
        <v>SVAR_CONF_Module_Settings_9_u32</v>
      </c>
      <c r="H16" s="14">
        <f>(VLOOKUP(A16, misc!$C$2:$D$28, 2, FALSE))</f>
        <v>4</v>
      </c>
      <c r="I16" s="14">
        <f t="shared" si="1"/>
        <v>4</v>
      </c>
      <c r="J16" s="14">
        <f t="shared" si="2"/>
        <v>1</v>
      </c>
      <c r="K16" s="3" t="str">
        <f t="shared" si="3"/>
        <v>Module_Settings_9  variable</v>
      </c>
    </row>
    <row r="17" spans="1:11" x14ac:dyDescent="0.3">
      <c r="A17" t="s">
        <v>4</v>
      </c>
      <c r="B17" t="s">
        <v>154</v>
      </c>
      <c r="C17">
        <v>1</v>
      </c>
      <c r="D17" t="str">
        <f t="shared" si="0"/>
        <v>Module_Settings_10  variable</v>
      </c>
      <c r="G17" s="3" t="str">
        <f>CONCATENATE("SVAR_",$B$5,"_",B17,"_",VLOOKUP(A17,misc!$C$2:$E$15,3,FALSE))</f>
        <v>SVAR_CONF_Module_Settings_10_u8</v>
      </c>
      <c r="H17" s="14">
        <f>(VLOOKUP(A17, misc!$C$2:$D$28, 2, FALSE))</f>
        <v>1</v>
      </c>
      <c r="I17" s="14">
        <f t="shared" si="1"/>
        <v>1</v>
      </c>
      <c r="J17" s="14">
        <f t="shared" si="2"/>
        <v>1</v>
      </c>
      <c r="K17" s="3" t="str">
        <f t="shared" si="3"/>
        <v>Module_Settings_10  variable</v>
      </c>
    </row>
    <row r="18" spans="1:11" x14ac:dyDescent="0.3">
      <c r="A18" t="s">
        <v>4</v>
      </c>
      <c r="B18" t="s">
        <v>155</v>
      </c>
      <c r="C18">
        <v>1</v>
      </c>
      <c r="D18" t="str">
        <f t="shared" si="0"/>
        <v>Module_Settings_11  variable</v>
      </c>
      <c r="G18" s="3" t="str">
        <f>CONCATENATE("SVAR_",$B$5,"_",B18,"_",VLOOKUP(A18,misc!$C$2:$E$15,3,FALSE))</f>
        <v>SVAR_CONF_Module_Settings_11_u8</v>
      </c>
      <c r="H18" s="14">
        <f>(VLOOKUP(A18, misc!$C$2:$D$28, 2, FALSE))</f>
        <v>1</v>
      </c>
      <c r="I18" s="14">
        <f t="shared" si="1"/>
        <v>1</v>
      </c>
      <c r="J18" s="14">
        <f t="shared" si="2"/>
        <v>1</v>
      </c>
      <c r="K18" s="3" t="str">
        <f t="shared" si="3"/>
        <v>Module_Settings_11  variable</v>
      </c>
    </row>
    <row r="19" spans="1:11" x14ac:dyDescent="0.3">
      <c r="A19" t="s">
        <v>8</v>
      </c>
      <c r="B19" t="s">
        <v>156</v>
      </c>
      <c r="C19">
        <v>1</v>
      </c>
      <c r="D19" t="str">
        <f t="shared" si="0"/>
        <v>Module_Settings_12  variable</v>
      </c>
      <c r="G19" s="3" t="str">
        <f>CONCATENATE("SVAR_",$B$5,"_",B19,"_",VLOOKUP(A19,misc!$C$2:$E$15,3,FALSE))</f>
        <v>SVAR_CONF_Module_Settings_12_u32</v>
      </c>
      <c r="H19" s="14">
        <f>(VLOOKUP(A19, misc!$C$2:$D$28, 2, FALSE))</f>
        <v>4</v>
      </c>
      <c r="I19" s="14">
        <f t="shared" si="1"/>
        <v>4</v>
      </c>
      <c r="J19" s="14">
        <f t="shared" si="2"/>
        <v>1</v>
      </c>
      <c r="K19" s="3" t="str">
        <f t="shared" si="3"/>
        <v>Module_Settings_12  variable</v>
      </c>
    </row>
    <row r="20" spans="1:11" x14ac:dyDescent="0.3">
      <c r="A20" t="s">
        <v>4</v>
      </c>
      <c r="B20" t="s">
        <v>157</v>
      </c>
      <c r="C20">
        <v>2</v>
      </c>
      <c r="D20" t="str">
        <f t="shared" si="0"/>
        <v>Module_Settings_13  variable</v>
      </c>
      <c r="G20" s="3" t="str">
        <f>CONCATENATE("SVAR_",$B$5,"_",B20,"_",VLOOKUP(A20,misc!$C$2:$E$15,3,FALSE))</f>
        <v>SVAR_CONF_Module_Settings_13_u8</v>
      </c>
      <c r="H20" s="14">
        <f>(VLOOKUP(A20, misc!$C$2:$D$28, 2, FALSE))</f>
        <v>1</v>
      </c>
      <c r="I20" s="14">
        <f t="shared" si="1"/>
        <v>2</v>
      </c>
      <c r="J20" s="14">
        <f t="shared" si="2"/>
        <v>2</v>
      </c>
      <c r="K20" s="3" t="str">
        <f t="shared" si="3"/>
        <v>Module_Settings_13  variable</v>
      </c>
    </row>
    <row r="21" spans="1:11" x14ac:dyDescent="0.3">
      <c r="A21" t="s">
        <v>10</v>
      </c>
      <c r="B21" t="s">
        <v>158</v>
      </c>
      <c r="C21">
        <v>1</v>
      </c>
      <c r="D21" t="str">
        <f t="shared" si="0"/>
        <v>Module_Settings_14  variable</v>
      </c>
      <c r="G21" s="3" t="str">
        <f>CONCATENATE("SVAR_",$B$5,"_",B21,"_",VLOOKUP(A21,misc!$C$2:$E$15,3,FALSE))</f>
        <v>SVAR_CONF_Module_Settings_14_u64</v>
      </c>
      <c r="H21" s="14">
        <f>(VLOOKUP(A21, misc!$C$2:$D$28, 2, FALSE))</f>
        <v>8</v>
      </c>
      <c r="I21" s="14">
        <f t="shared" si="1"/>
        <v>8</v>
      </c>
      <c r="J21" s="14">
        <f t="shared" si="2"/>
        <v>1</v>
      </c>
      <c r="K21" s="3" t="str">
        <f t="shared" si="3"/>
        <v>Module_Settings_14  variable</v>
      </c>
    </row>
    <row r="22" spans="1:11" x14ac:dyDescent="0.3">
      <c r="A22" t="s">
        <v>4</v>
      </c>
      <c r="B22" t="s">
        <v>159</v>
      </c>
      <c r="C22">
        <v>1</v>
      </c>
      <c r="D22" t="str">
        <f t="shared" si="0"/>
        <v>Module_Settings_15  variable</v>
      </c>
      <c r="G22" s="3" t="str">
        <f>CONCATENATE("SVAR_",$B$5,"_",B22,"_",VLOOKUP(A22,misc!$C$2:$E$15,3,FALSE))</f>
        <v>SVAR_CONF_Module_Settings_15_u8</v>
      </c>
      <c r="H22" s="14">
        <f>(VLOOKUP(A22, misc!$C$2:$D$28, 2, FALSE))</f>
        <v>1</v>
      </c>
      <c r="I22" s="14">
        <f t="shared" si="1"/>
        <v>1</v>
      </c>
      <c r="J22" s="14">
        <f t="shared" si="2"/>
        <v>1</v>
      </c>
      <c r="K22" s="3" t="str">
        <f t="shared" si="3"/>
        <v>Module_Settings_15  variable</v>
      </c>
    </row>
    <row r="23" spans="1:11" x14ac:dyDescent="0.3">
      <c r="A23" t="s">
        <v>4</v>
      </c>
      <c r="B23" t="s">
        <v>160</v>
      </c>
      <c r="C23">
        <v>1</v>
      </c>
      <c r="D23" t="str">
        <f t="shared" si="0"/>
        <v>Module_Settings_16  variable</v>
      </c>
      <c r="G23" s="3" t="str">
        <f>CONCATENATE("SVAR_",$B$5,"_",B23,"_",VLOOKUP(A23,misc!$C$2:$E$15,3,FALSE))</f>
        <v>SVAR_CONF_Module_Settings_16_u8</v>
      </c>
      <c r="H23" s="14">
        <f>(VLOOKUP(A23, misc!$C$2:$D$28, 2, FALSE))</f>
        <v>1</v>
      </c>
      <c r="I23" s="14">
        <f t="shared" si="1"/>
        <v>1</v>
      </c>
      <c r="J23" s="14">
        <f t="shared" si="2"/>
        <v>1</v>
      </c>
      <c r="K23" s="3" t="str">
        <f t="shared" si="3"/>
        <v>Module_Settings_16  variable</v>
      </c>
    </row>
    <row r="24" spans="1:11" x14ac:dyDescent="0.3">
      <c r="A24" t="s">
        <v>22</v>
      </c>
      <c r="B24" t="s">
        <v>161</v>
      </c>
      <c r="C24">
        <v>1</v>
      </c>
      <c r="D24" t="str">
        <f t="shared" si="0"/>
        <v>Module_Settings_17  variable</v>
      </c>
      <c r="G24" s="3" t="str">
        <f>CONCATENATE("SVAR_",$B$5,"_",B24,"_",VLOOKUP(A24,misc!$C$2:$E$15,3,FALSE))</f>
        <v>SVAR_CONF_Module_Settings_17_b</v>
      </c>
      <c r="H24" s="14">
        <f>(VLOOKUP(A24, misc!$C$2:$D$28, 2, FALSE))</f>
        <v>1</v>
      </c>
      <c r="I24" s="14">
        <f t="shared" si="1"/>
        <v>1</v>
      </c>
      <c r="J24" s="14">
        <f t="shared" si="2"/>
        <v>1</v>
      </c>
      <c r="K24" s="3" t="str">
        <f t="shared" si="3"/>
        <v>Module_Settings_17  variable</v>
      </c>
    </row>
    <row r="25" spans="1:11" x14ac:dyDescent="0.3">
      <c r="A25" t="s">
        <v>22</v>
      </c>
      <c r="B25" t="s">
        <v>162</v>
      </c>
      <c r="C25">
        <v>1</v>
      </c>
      <c r="D25" t="str">
        <f t="shared" si="0"/>
        <v>Module_Settings_18  variable</v>
      </c>
      <c r="G25" s="3" t="str">
        <f>CONCATENATE("SVAR_",$B$5,"_",B25,"_",VLOOKUP(A25,misc!$C$2:$E$15,3,FALSE))</f>
        <v>SVAR_CONF_Module_Settings_18_b</v>
      </c>
      <c r="H25" s="14">
        <f>(VLOOKUP(A25, misc!$C$2:$D$28, 2, FALSE))</f>
        <v>1</v>
      </c>
      <c r="I25" s="14">
        <f t="shared" si="1"/>
        <v>1</v>
      </c>
      <c r="J25" s="14">
        <f t="shared" si="2"/>
        <v>1</v>
      </c>
      <c r="K25" s="3" t="str">
        <f t="shared" si="3"/>
        <v>Module_Settings_18  variable</v>
      </c>
    </row>
    <row r="26" spans="1:11" x14ac:dyDescent="0.3">
      <c r="A26" t="s">
        <v>4</v>
      </c>
      <c r="B26" t="s">
        <v>163</v>
      </c>
      <c r="C26">
        <v>1</v>
      </c>
      <c r="D26" t="str">
        <f t="shared" si="0"/>
        <v>Module_Settings_19  variable</v>
      </c>
      <c r="G26" s="3" t="str">
        <f>CONCATENATE("SVAR_",$B$5,"_",B26,"_",VLOOKUP(A26,misc!$C$2:$E$15,3,FALSE))</f>
        <v>SVAR_CONF_Module_Settings_19_u8</v>
      </c>
      <c r="H26" s="14">
        <f>(VLOOKUP(A26, misc!$C$2:$D$28, 2, FALSE))</f>
        <v>1</v>
      </c>
      <c r="I26" s="14">
        <f t="shared" si="1"/>
        <v>1</v>
      </c>
      <c r="J26" s="14">
        <f t="shared" si="2"/>
        <v>1</v>
      </c>
      <c r="K26" s="3" t="str">
        <f t="shared" si="3"/>
        <v>Module_Settings_19  variable</v>
      </c>
    </row>
    <row r="27" spans="1:11" x14ac:dyDescent="0.3">
      <c r="A27" t="s">
        <v>4</v>
      </c>
      <c r="B27" t="s">
        <v>164</v>
      </c>
      <c r="C27">
        <v>1</v>
      </c>
      <c r="D27" t="str">
        <f t="shared" si="0"/>
        <v>Module_Settings_20  variable</v>
      </c>
      <c r="G27" s="3" t="str">
        <f>CONCATENATE("SVAR_",$B$5,"_",B27,"_",VLOOKUP(A27,misc!$C$2:$E$15,3,FALSE))</f>
        <v>SVAR_CONF_Module_Settings_20_u8</v>
      </c>
      <c r="H27" s="14">
        <f>(VLOOKUP(A27, misc!$C$2:$D$28, 2, FALSE))</f>
        <v>1</v>
      </c>
      <c r="I27" s="14">
        <f t="shared" si="1"/>
        <v>1</v>
      </c>
      <c r="J27" s="14">
        <f t="shared" si="2"/>
        <v>1</v>
      </c>
      <c r="K27" s="3" t="str">
        <f t="shared" si="3"/>
        <v>Module_Settings_20  variable</v>
      </c>
    </row>
    <row r="28" spans="1:11" x14ac:dyDescent="0.3">
      <c r="A28" t="s">
        <v>4</v>
      </c>
      <c r="B28" t="s">
        <v>165</v>
      </c>
      <c r="C28">
        <v>1</v>
      </c>
      <c r="D28" t="str">
        <f t="shared" si="0"/>
        <v>Module_Settings_21  variable</v>
      </c>
      <c r="G28" s="3" t="str">
        <f>CONCATENATE("SVAR_",$B$5,"_",B28,"_",VLOOKUP(A28,misc!$C$2:$E$15,3,FALSE))</f>
        <v>SVAR_CONF_Module_Settings_21_u8</v>
      </c>
      <c r="H28" s="14">
        <f>(VLOOKUP(A28, misc!$C$2:$D$28, 2, FALSE))</f>
        <v>1</v>
      </c>
      <c r="I28" s="14">
        <f t="shared" si="1"/>
        <v>1</v>
      </c>
      <c r="J28" s="14">
        <f t="shared" si="2"/>
        <v>1</v>
      </c>
      <c r="K28" s="3" t="str">
        <f t="shared" si="3"/>
        <v>Module_Settings_21  variable</v>
      </c>
    </row>
    <row r="29" spans="1:11" x14ac:dyDescent="0.3">
      <c r="A29" t="s">
        <v>4</v>
      </c>
      <c r="B29" t="s">
        <v>166</v>
      </c>
      <c r="C29">
        <v>1</v>
      </c>
      <c r="D29" t="str">
        <f t="shared" si="0"/>
        <v>Module_Settings_22  variable</v>
      </c>
      <c r="G29" s="3" t="str">
        <f>CONCATENATE("SVAR_",$B$5,"_",B29,"_",VLOOKUP(A29,misc!$C$2:$E$15,3,FALSE))</f>
        <v>SVAR_CONF_Module_Settings_22_u8</v>
      </c>
      <c r="H29" s="14">
        <f>(VLOOKUP(A29, misc!$C$2:$D$28, 2, FALSE))</f>
        <v>1</v>
      </c>
      <c r="I29" s="14">
        <f t="shared" si="1"/>
        <v>1</v>
      </c>
      <c r="J29" s="14">
        <f t="shared" si="2"/>
        <v>1</v>
      </c>
      <c r="K29" s="3" t="str">
        <f t="shared" si="3"/>
        <v>Module_Settings_22  variable</v>
      </c>
    </row>
    <row r="30" spans="1:11" x14ac:dyDescent="0.3">
      <c r="A30" t="s">
        <v>4</v>
      </c>
      <c r="B30" t="s">
        <v>167</v>
      </c>
      <c r="C30">
        <v>1</v>
      </c>
      <c r="D30" t="str">
        <f t="shared" si="0"/>
        <v>Module_Settings_23  variable</v>
      </c>
      <c r="G30" s="3" t="str">
        <f>CONCATENATE("SVAR_",$B$5,"_",B30,"_",VLOOKUP(A30,misc!$C$2:$E$15,3,FALSE))</f>
        <v>SVAR_CONF_Module_Settings_23_u8</v>
      </c>
      <c r="H30" s="14">
        <f>(VLOOKUP(A30, misc!$C$2:$D$28, 2, FALSE))</f>
        <v>1</v>
      </c>
      <c r="I30" s="14">
        <f t="shared" si="1"/>
        <v>1</v>
      </c>
      <c r="J30" s="14">
        <f t="shared" si="2"/>
        <v>1</v>
      </c>
      <c r="K30" s="3" t="str">
        <f t="shared" si="3"/>
        <v>Module_Settings_23  variable</v>
      </c>
    </row>
    <row r="31" spans="1:11" x14ac:dyDescent="0.3">
      <c r="A31" t="s">
        <v>23</v>
      </c>
      <c r="B31" t="s">
        <v>168</v>
      </c>
      <c r="C31">
        <v>1</v>
      </c>
      <c r="D31" t="str">
        <f t="shared" si="0"/>
        <v>Module_Settings_24  variable</v>
      </c>
      <c r="G31" s="3" t="str">
        <f>CONCATENATE("SVAR_",$B$5,"_",B31,"_",VLOOKUP(A31,misc!$C$2:$E$15,3,FALSE))</f>
        <v>SVAR_CONF_Module_Settings_24_add</v>
      </c>
      <c r="H31" s="14">
        <f>(VLOOKUP(A31, misc!$C$2:$D$28, 2, FALSE))</f>
        <v>4</v>
      </c>
      <c r="I31" s="14">
        <f t="shared" si="1"/>
        <v>4</v>
      </c>
      <c r="J31" s="14">
        <f t="shared" si="2"/>
        <v>1</v>
      </c>
      <c r="K31" s="3" t="str">
        <f t="shared" si="3"/>
        <v>Module_Settings_24  variable</v>
      </c>
    </row>
    <row r="32" spans="1:11" x14ac:dyDescent="0.3">
      <c r="A32" t="s">
        <v>4</v>
      </c>
      <c r="B32" t="s">
        <v>169</v>
      </c>
      <c r="C32">
        <v>1</v>
      </c>
      <c r="D32" t="str">
        <f t="shared" si="0"/>
        <v>Module_Settings_25  variable</v>
      </c>
      <c r="G32" s="3" t="str">
        <f>CONCATENATE("SVAR_",$B$5,"_",B32,"_",VLOOKUP(A32,misc!$C$2:$E$15,3,FALSE))</f>
        <v>SVAR_CONF_Module_Settings_25_u8</v>
      </c>
      <c r="H32" s="14">
        <f>(VLOOKUP(A32, misc!$C$2:$D$28, 2, FALSE))</f>
        <v>1</v>
      </c>
      <c r="I32" s="14">
        <f t="shared" si="1"/>
        <v>1</v>
      </c>
      <c r="J32" s="14">
        <f t="shared" si="2"/>
        <v>1</v>
      </c>
      <c r="K32" s="3" t="str">
        <f t="shared" si="3"/>
        <v>Module_Settings_25  variable</v>
      </c>
    </row>
    <row r="33" spans="1:11" x14ac:dyDescent="0.3">
      <c r="A33" t="s">
        <v>4</v>
      </c>
      <c r="B33" t="s">
        <v>170</v>
      </c>
      <c r="C33">
        <v>1</v>
      </c>
      <c r="D33" t="str">
        <f t="shared" si="0"/>
        <v>Module_Settings_26  variable</v>
      </c>
      <c r="G33" s="3" t="str">
        <f>CONCATENATE("SVAR_",$B$5,"_",B33,"_",VLOOKUP(A33,misc!$C$2:$E$15,3,FALSE))</f>
        <v>SVAR_CONF_Module_Settings_26_u8</v>
      </c>
      <c r="H33" s="14">
        <f>(VLOOKUP(A33, misc!$C$2:$D$28, 2, FALSE))</f>
        <v>1</v>
      </c>
      <c r="I33" s="14">
        <f t="shared" si="1"/>
        <v>1</v>
      </c>
      <c r="J33" s="14">
        <f t="shared" si="2"/>
        <v>1</v>
      </c>
      <c r="K33" s="3" t="str">
        <f t="shared" si="3"/>
        <v>Module_Settings_26  variable</v>
      </c>
    </row>
    <row r="34" spans="1:11" x14ac:dyDescent="0.3">
      <c r="A34" t="s">
        <v>4</v>
      </c>
      <c r="B34" t="s">
        <v>171</v>
      </c>
      <c r="C34">
        <v>1</v>
      </c>
      <c r="D34" t="str">
        <f t="shared" si="0"/>
        <v>Module_Settings_27  variable</v>
      </c>
      <c r="G34" s="3" t="str">
        <f>CONCATENATE("SVAR_",$B$5,"_",B34,"_",VLOOKUP(A34,misc!$C$2:$E$15,3,FALSE))</f>
        <v>SVAR_CONF_Module_Settings_27_u8</v>
      </c>
      <c r="H34" s="14">
        <f>(VLOOKUP(A34, misc!$C$2:$D$28, 2, FALSE))</f>
        <v>1</v>
      </c>
      <c r="I34" s="14">
        <f t="shared" si="1"/>
        <v>1</v>
      </c>
      <c r="J34" s="14">
        <f t="shared" si="2"/>
        <v>1</v>
      </c>
      <c r="K34" s="3" t="str">
        <f t="shared" si="3"/>
        <v>Module_Settings_27  variable</v>
      </c>
    </row>
    <row r="35" spans="1:11" x14ac:dyDescent="0.3">
      <c r="A35" t="s">
        <v>4</v>
      </c>
      <c r="B35" t="s">
        <v>172</v>
      </c>
      <c r="C35">
        <v>1</v>
      </c>
      <c r="D35" t="str">
        <f t="shared" si="0"/>
        <v>Module_Settings_28  variable</v>
      </c>
      <c r="G35" s="3" t="str">
        <f>CONCATENATE("SVAR_",$B$5,"_",B35,"_",VLOOKUP(A35,misc!$C$2:$E$15,3,FALSE))</f>
        <v>SVAR_CONF_Module_Settings_28_u8</v>
      </c>
      <c r="H35" s="14">
        <f>(VLOOKUP(A35, misc!$C$2:$D$28, 2, FALSE))</f>
        <v>1</v>
      </c>
      <c r="I35" s="14">
        <f t="shared" si="1"/>
        <v>1</v>
      </c>
      <c r="J35" s="14">
        <f t="shared" si="2"/>
        <v>1</v>
      </c>
      <c r="K35" s="3" t="str">
        <f t="shared" si="3"/>
        <v>Module_Settings_28  variable</v>
      </c>
    </row>
    <row r="36" spans="1:11" x14ac:dyDescent="0.3">
      <c r="A36" t="s">
        <v>13</v>
      </c>
      <c r="B36" t="s">
        <v>173</v>
      </c>
      <c r="C36">
        <v>1</v>
      </c>
      <c r="D36" t="str">
        <f t="shared" si="0"/>
        <v>Module_Settings_29  variable</v>
      </c>
      <c r="G36" s="3" t="str">
        <f>CONCATENATE("SVAR_",$B$5,"_",B36,"_",VLOOKUP(A36,misc!$C$2:$E$15,3,FALSE))</f>
        <v>SVAR_CONF_Module_Settings_29_f</v>
      </c>
      <c r="H36" s="14">
        <f>(VLOOKUP(A36, misc!$C$2:$D$28, 2, FALSE))</f>
        <v>4</v>
      </c>
      <c r="I36" s="14">
        <f t="shared" si="1"/>
        <v>4</v>
      </c>
      <c r="J36" s="14">
        <f t="shared" si="2"/>
        <v>1</v>
      </c>
      <c r="K36" s="3" t="str">
        <f t="shared" si="3"/>
        <v>Module_Settings_29  variable</v>
      </c>
    </row>
    <row r="37" spans="1:11" x14ac:dyDescent="0.3">
      <c r="A37" t="s">
        <v>4</v>
      </c>
      <c r="B37" t="s">
        <v>174</v>
      </c>
      <c r="C37">
        <v>1</v>
      </c>
      <c r="D37" t="str">
        <f t="shared" si="0"/>
        <v>Module_Settings_30  variable</v>
      </c>
      <c r="G37" s="3" t="str">
        <f>CONCATENATE("SVAR_",$B$5,"_",B37,"_",VLOOKUP(A37,misc!$C$2:$E$15,3,FALSE))</f>
        <v>SVAR_CONF_Module_Settings_30_u8</v>
      </c>
      <c r="H37" s="14">
        <f>(VLOOKUP(A37, misc!$C$2:$D$28, 2, FALSE))</f>
        <v>1</v>
      </c>
      <c r="I37" s="14">
        <f t="shared" si="1"/>
        <v>1</v>
      </c>
      <c r="J37" s="14">
        <f t="shared" si="2"/>
        <v>1</v>
      </c>
      <c r="K37" s="3" t="str">
        <f t="shared" si="3"/>
        <v>Module_Settings_30  variable</v>
      </c>
    </row>
    <row r="38" spans="1:11" x14ac:dyDescent="0.3">
      <c r="A38" t="s">
        <v>4</v>
      </c>
      <c r="B38" t="s">
        <v>175</v>
      </c>
      <c r="C38">
        <v>1</v>
      </c>
      <c r="D38" t="str">
        <f t="shared" si="0"/>
        <v>Module_Settings_31  variable</v>
      </c>
      <c r="G38" s="3" t="str">
        <f>CONCATENATE("SVAR_",$B$5,"_",B38,"_",VLOOKUP(A38,misc!$C$2:$E$15,3,FALSE))</f>
        <v>SVAR_CONF_Module_Settings_31_u8</v>
      </c>
      <c r="H38" s="14">
        <f>(VLOOKUP(A38, misc!$C$2:$D$28, 2, FALSE))</f>
        <v>1</v>
      </c>
      <c r="I38" s="14">
        <f t="shared" si="1"/>
        <v>1</v>
      </c>
      <c r="J38" s="14">
        <f t="shared" si="2"/>
        <v>1</v>
      </c>
      <c r="K38" s="3" t="str">
        <f t="shared" si="3"/>
        <v>Module_Settings_31  variable</v>
      </c>
    </row>
    <row r="39" spans="1:11" x14ac:dyDescent="0.3">
      <c r="A39" t="s">
        <v>4</v>
      </c>
      <c r="B39" t="s">
        <v>176</v>
      </c>
      <c r="C39">
        <v>1</v>
      </c>
      <c r="D39" t="str">
        <f t="shared" si="0"/>
        <v>Module_Settings_32  variable</v>
      </c>
      <c r="G39" s="3" t="str">
        <f>CONCATENATE("SVAR_",$B$5,"_",B39,"_",VLOOKUP(A39,misc!$C$2:$E$15,3,FALSE))</f>
        <v>SVAR_CONF_Module_Settings_32_u8</v>
      </c>
      <c r="H39" s="14">
        <f>(VLOOKUP(A39, misc!$C$2:$D$28, 2, FALSE))</f>
        <v>1</v>
      </c>
      <c r="I39" s="14">
        <f t="shared" si="1"/>
        <v>1</v>
      </c>
      <c r="J39" s="14">
        <f t="shared" si="2"/>
        <v>1</v>
      </c>
      <c r="K39" s="3" t="str">
        <f t="shared" si="3"/>
        <v>Module_Settings_32  variable</v>
      </c>
    </row>
    <row r="40" spans="1:11" x14ac:dyDescent="0.3">
      <c r="A40" t="s">
        <v>5</v>
      </c>
      <c r="B40" t="s">
        <v>177</v>
      </c>
      <c r="C40">
        <v>1</v>
      </c>
      <c r="D40" t="str">
        <f t="shared" si="0"/>
        <v>Module_Settings_33  variable</v>
      </c>
      <c r="G40" s="3" t="str">
        <f>CONCATENATE("SVAR_",$B$5,"_",B40,"_",VLOOKUP(A40,misc!$C$2:$E$15,3,FALSE))</f>
        <v>SVAR_CONF_Module_Settings_33_s8</v>
      </c>
      <c r="H40" s="14">
        <f>(VLOOKUP(A40, misc!$C$2:$D$28, 2, FALSE))</f>
        <v>1</v>
      </c>
      <c r="I40" s="14">
        <f t="shared" si="1"/>
        <v>1</v>
      </c>
      <c r="J40" s="14">
        <f t="shared" si="2"/>
        <v>1</v>
      </c>
      <c r="K40" s="3" t="str">
        <f t="shared" si="3"/>
        <v>Module_Settings_33  variable</v>
      </c>
    </row>
    <row r="41" spans="1:11" x14ac:dyDescent="0.3">
      <c r="A41" t="s">
        <v>22</v>
      </c>
      <c r="B41" t="s">
        <v>178</v>
      </c>
      <c r="C41">
        <v>1</v>
      </c>
      <c r="D41" t="str">
        <f t="shared" si="0"/>
        <v>Module_Settings_34  variable</v>
      </c>
      <c r="G41" s="3" t="str">
        <f>CONCATENATE("SVAR_",$B$5,"_",B41,"_",VLOOKUP(A41,misc!$C$2:$E$15,3,FALSE))</f>
        <v>SVAR_CONF_Module_Settings_34_b</v>
      </c>
      <c r="H41" s="14">
        <f>(VLOOKUP(A41, misc!$C$2:$D$28, 2, FALSE))</f>
        <v>1</v>
      </c>
      <c r="I41" s="14">
        <f t="shared" si="1"/>
        <v>1</v>
      </c>
      <c r="J41" s="14">
        <f t="shared" si="2"/>
        <v>1</v>
      </c>
      <c r="K41" s="3" t="str">
        <f t="shared" si="3"/>
        <v>Module_Settings_34  variable</v>
      </c>
    </row>
    <row r="42" spans="1:11" x14ac:dyDescent="0.3">
      <c r="A42" t="s">
        <v>9</v>
      </c>
      <c r="B42" t="s">
        <v>179</v>
      </c>
      <c r="C42">
        <v>1</v>
      </c>
      <c r="D42" t="str">
        <f t="shared" si="0"/>
        <v>Module_Settings_35  variable</v>
      </c>
      <c r="G42" s="3" t="str">
        <f>CONCATENATE("SVAR_",$B$5,"_",B42,"_",VLOOKUP(A42,misc!$C$2:$E$15,3,FALSE))</f>
        <v>SVAR_CONF_Module_Settings_35_s32</v>
      </c>
      <c r="H42" s="14">
        <f>(VLOOKUP(A42, misc!$C$2:$D$28, 2, FALSE))</f>
        <v>4</v>
      </c>
      <c r="I42" s="14">
        <f t="shared" si="1"/>
        <v>4</v>
      </c>
      <c r="J42" s="14">
        <f t="shared" si="2"/>
        <v>1</v>
      </c>
      <c r="K42" s="3" t="str">
        <f t="shared" si="3"/>
        <v>Module_Settings_35  variable</v>
      </c>
    </row>
  </sheetData>
  <mergeCells count="1">
    <mergeCell ref="G6:K6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61E457D-E5CC-4CEC-AB3C-F9FA4D36DB6E}">
          <x14:formula1>
            <xm:f>misc!$B$2:$B$4</xm:f>
          </x14:formula1>
          <xm:sqref>B3</xm:sqref>
        </x14:dataValidation>
        <x14:dataValidation type="list" allowBlank="1" showInputMessage="1" showErrorMessage="1" xr:uid="{A2FDD24C-A17A-4C66-9E87-90BAD1E94FBB}">
          <x14:formula1>
            <xm:f>misc!$A$2:$A$13</xm:f>
          </x14:formula1>
          <xm:sqref>B2</xm:sqref>
        </x14:dataValidation>
        <x14:dataValidation type="list" allowBlank="1" showInputMessage="1" showErrorMessage="1" xr:uid="{C2837F2E-8B69-45C0-8E26-B93D8BF066F5}">
          <x14:formula1>
            <xm:f>misc!$C$2:$C$22</xm:f>
          </x14:formula1>
          <xm:sqref>A8:A42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5AB23-52C7-4F0F-AD70-1E8B816295CE}">
  <dimension ref="A1:K42"/>
  <sheetViews>
    <sheetView workbookViewId="0">
      <selection activeCell="G6" sqref="G6:K7"/>
    </sheetView>
  </sheetViews>
  <sheetFormatPr defaultRowHeight="14.4" x14ac:dyDescent="0.3"/>
  <cols>
    <col min="1" max="1" width="19.33203125" customWidth="1"/>
    <col min="2" max="2" width="25.88671875" customWidth="1"/>
    <col min="3" max="3" width="9.88671875" customWidth="1"/>
    <col min="4" max="4" width="43.44140625" customWidth="1"/>
    <col min="5" max="5" width="11.6640625" customWidth="1"/>
    <col min="6" max="6" width="7.44140625" customWidth="1"/>
    <col min="7" max="7" width="33.6640625" style="3" customWidth="1"/>
    <col min="8" max="8" width="7.88671875" style="14" customWidth="1"/>
    <col min="9" max="10" width="6.5546875" style="14" customWidth="1"/>
    <col min="11" max="11" width="26" style="3" customWidth="1"/>
  </cols>
  <sheetData>
    <row r="1" spans="1:11" x14ac:dyDescent="0.3">
      <c r="A1" s="16" t="s">
        <v>71</v>
      </c>
      <c r="B1" s="19" t="s">
        <v>72</v>
      </c>
      <c r="G1" s="8"/>
      <c r="H1" s="12"/>
      <c r="I1" s="12"/>
      <c r="J1" s="12"/>
      <c r="K1" s="8"/>
    </row>
    <row r="2" spans="1:11" x14ac:dyDescent="0.3">
      <c r="A2" s="1" t="s">
        <v>0</v>
      </c>
      <c r="B2" t="s">
        <v>62</v>
      </c>
      <c r="G2" s="8"/>
      <c r="H2" s="12"/>
      <c r="I2" s="12"/>
      <c r="J2" s="12"/>
      <c r="K2" s="8"/>
    </row>
    <row r="3" spans="1:11" x14ac:dyDescent="0.3">
      <c r="A3" s="1" t="s">
        <v>15</v>
      </c>
      <c r="B3" t="s">
        <v>17</v>
      </c>
      <c r="G3" s="8"/>
      <c r="H3" s="12"/>
      <c r="I3" s="12"/>
      <c r="J3" s="12"/>
      <c r="K3" s="8"/>
    </row>
    <row r="4" spans="1:11" x14ac:dyDescent="0.3">
      <c r="A4" s="1" t="s">
        <v>48</v>
      </c>
      <c r="B4" s="4">
        <v>0</v>
      </c>
      <c r="C4" s="1" t="s">
        <v>25</v>
      </c>
      <c r="G4" s="8"/>
      <c r="H4" s="12"/>
      <c r="I4" s="12"/>
      <c r="J4" s="12"/>
      <c r="K4" s="8"/>
    </row>
    <row r="5" spans="1:11" x14ac:dyDescent="0.3">
      <c r="A5" s="1" t="s">
        <v>20</v>
      </c>
      <c r="B5" s="4" t="s">
        <v>47</v>
      </c>
      <c r="G5" s="8"/>
      <c r="H5" s="12"/>
      <c r="I5" s="12"/>
      <c r="J5" s="12"/>
      <c r="K5" s="8"/>
    </row>
    <row r="6" spans="1:11" x14ac:dyDescent="0.3">
      <c r="A6" s="1" t="s">
        <v>24</v>
      </c>
      <c r="B6" s="4">
        <v>0</v>
      </c>
      <c r="C6" s="1" t="s">
        <v>26</v>
      </c>
      <c r="G6" s="21" t="s">
        <v>46</v>
      </c>
      <c r="H6" s="21"/>
      <c r="I6" s="21"/>
      <c r="J6" s="21"/>
      <c r="K6" s="21"/>
    </row>
    <row r="7" spans="1:11" x14ac:dyDescent="0.3">
      <c r="A7" s="1" t="s">
        <v>27</v>
      </c>
      <c r="B7" s="1" t="s">
        <v>28</v>
      </c>
      <c r="C7" s="1" t="s">
        <v>68</v>
      </c>
      <c r="D7" s="1" t="s">
        <v>29</v>
      </c>
      <c r="E7" s="1"/>
      <c r="G7" s="2" t="s">
        <v>182</v>
      </c>
      <c r="H7" s="15" t="s">
        <v>180</v>
      </c>
      <c r="I7" s="15" t="s">
        <v>181</v>
      </c>
      <c r="J7" s="15" t="s">
        <v>70</v>
      </c>
      <c r="K7" s="11" t="s">
        <v>64</v>
      </c>
    </row>
    <row r="8" spans="1:11" x14ac:dyDescent="0.3">
      <c r="A8" t="s">
        <v>4</v>
      </c>
      <c r="B8" t="s">
        <v>75</v>
      </c>
      <c r="C8">
        <v>10</v>
      </c>
      <c r="D8" t="str">
        <f t="shared" ref="D8:D42" si="0">CONCATENATE(B8,"  variable")</f>
        <v>MODULE_BATT_1  variable</v>
      </c>
      <c r="G8" s="10" t="str">
        <f>CONCATENATE("SVAR_",$B$5,"_",B8,"_",VLOOKUP(A8,misc!$C$2:$E$15,3,FALSE))</f>
        <v>SVAR_BMS_MODULE_BATT_1_u8</v>
      </c>
      <c r="H8" s="14">
        <f>(VLOOKUP(A8, misc!$C$2:$D$28, 2, FALSE))</f>
        <v>1</v>
      </c>
      <c r="I8" s="14">
        <f>H8* C8</f>
        <v>10</v>
      </c>
      <c r="J8" s="14">
        <f>C8</f>
        <v>10</v>
      </c>
      <c r="K8" s="3" t="str">
        <f>D8</f>
        <v>MODULE_BATT_1  variable</v>
      </c>
    </row>
    <row r="9" spans="1:11" x14ac:dyDescent="0.3">
      <c r="A9" t="s">
        <v>4</v>
      </c>
      <c r="B9" t="s">
        <v>76</v>
      </c>
      <c r="C9">
        <v>1</v>
      </c>
      <c r="D9" t="str">
        <f t="shared" si="0"/>
        <v>MODULE_BATT_2  variable</v>
      </c>
      <c r="G9" s="3" t="str">
        <f>CONCATENATE("SVAR_",$B$5,"_",B9,"_",VLOOKUP(A9,misc!$C$2:$E$15,3,FALSE))</f>
        <v>SVAR_BMS_MODULE_BATT_2_u8</v>
      </c>
      <c r="H9" s="14">
        <f>(VLOOKUP(A9, misc!$C$2:$D$28, 2, FALSE))</f>
        <v>1</v>
      </c>
      <c r="I9" s="14">
        <f t="shared" ref="I9:I42" si="1">H9* C9</f>
        <v>1</v>
      </c>
      <c r="J9" s="14">
        <f t="shared" ref="J9:K42" si="2">C9</f>
        <v>1</v>
      </c>
      <c r="K9" s="3" t="str">
        <f t="shared" si="2"/>
        <v>MODULE_BATT_2  variable</v>
      </c>
    </row>
    <row r="10" spans="1:11" x14ac:dyDescent="0.3">
      <c r="A10" t="s">
        <v>4</v>
      </c>
      <c r="B10" t="s">
        <v>77</v>
      </c>
      <c r="C10">
        <v>1</v>
      </c>
      <c r="D10" t="str">
        <f t="shared" si="0"/>
        <v>MODULE_BATT_3  variable</v>
      </c>
      <c r="G10" s="3" t="str">
        <f>CONCATENATE("SVAR_",$B$5,"_",B10,"_",VLOOKUP(A10,misc!$C$2:$E$15,3,FALSE))</f>
        <v>SVAR_BMS_MODULE_BATT_3_u8</v>
      </c>
      <c r="H10" s="14">
        <f>(VLOOKUP(A10, misc!$C$2:$D$28, 2, FALSE))</f>
        <v>1</v>
      </c>
      <c r="I10" s="14">
        <f t="shared" si="1"/>
        <v>1</v>
      </c>
      <c r="J10" s="14">
        <f t="shared" si="2"/>
        <v>1</v>
      </c>
      <c r="K10" s="3" t="str">
        <f t="shared" si="2"/>
        <v>MODULE_BATT_3  variable</v>
      </c>
    </row>
    <row r="11" spans="1:11" x14ac:dyDescent="0.3">
      <c r="A11" t="s">
        <v>7</v>
      </c>
      <c r="B11" t="s">
        <v>78</v>
      </c>
      <c r="C11">
        <v>1</v>
      </c>
      <c r="D11" t="str">
        <f t="shared" si="0"/>
        <v>MODULE_BATT_4  variable</v>
      </c>
      <c r="G11" s="3" t="str">
        <f>CONCATENATE("SVAR_",$B$5,"_",B11,"_",VLOOKUP(A11,misc!$C$2:$E$15,3,FALSE))</f>
        <v>SVAR_BMS_MODULE_BATT_4_s16</v>
      </c>
      <c r="H11" s="14">
        <f>(VLOOKUP(A11, misc!$C$2:$D$28, 2, FALSE))</f>
        <v>2</v>
      </c>
      <c r="I11" s="14">
        <f t="shared" si="1"/>
        <v>2</v>
      </c>
      <c r="J11" s="14">
        <f t="shared" si="2"/>
        <v>1</v>
      </c>
      <c r="K11" s="3" t="str">
        <f t="shared" si="2"/>
        <v>MODULE_BATT_4  variable</v>
      </c>
    </row>
    <row r="12" spans="1:11" x14ac:dyDescent="0.3">
      <c r="A12" t="s">
        <v>4</v>
      </c>
      <c r="B12" t="s">
        <v>79</v>
      </c>
      <c r="C12">
        <v>1</v>
      </c>
      <c r="D12" t="str">
        <f t="shared" si="0"/>
        <v>MODULE_BATT_5  variable</v>
      </c>
      <c r="G12" s="3" t="str">
        <f>CONCATENATE("SVAR_",$B$5,"_",B12,"_",VLOOKUP(A12,misc!$C$2:$E$15,3,FALSE))</f>
        <v>SVAR_BMS_MODULE_BATT_5_u8</v>
      </c>
      <c r="H12" s="14">
        <f>(VLOOKUP(A12, misc!$C$2:$D$28, 2, FALSE))</f>
        <v>1</v>
      </c>
      <c r="I12" s="14">
        <f t="shared" si="1"/>
        <v>1</v>
      </c>
      <c r="J12" s="14">
        <f t="shared" si="2"/>
        <v>1</v>
      </c>
      <c r="K12" s="3" t="str">
        <f t="shared" si="2"/>
        <v>MODULE_BATT_5  variable</v>
      </c>
    </row>
    <row r="13" spans="1:11" x14ac:dyDescent="0.3">
      <c r="A13" t="s">
        <v>4</v>
      </c>
      <c r="B13" t="s">
        <v>80</v>
      </c>
      <c r="C13">
        <v>1</v>
      </c>
      <c r="D13" t="str">
        <f t="shared" si="0"/>
        <v>MODULE_BATT_6  variable</v>
      </c>
      <c r="G13" s="3" t="str">
        <f>CONCATENATE("SVAR_",$B$5,"_",B13,"_",VLOOKUP(A13,misc!$C$2:$E$15,3,FALSE))</f>
        <v>SVAR_BMS_MODULE_BATT_6_u8</v>
      </c>
      <c r="H13" s="14">
        <f>(VLOOKUP(A13, misc!$C$2:$D$28, 2, FALSE))</f>
        <v>1</v>
      </c>
      <c r="I13" s="14">
        <f t="shared" si="1"/>
        <v>1</v>
      </c>
      <c r="J13" s="14">
        <f t="shared" si="2"/>
        <v>1</v>
      </c>
      <c r="K13" s="3" t="str">
        <f t="shared" si="2"/>
        <v>MODULE_BATT_6  variable</v>
      </c>
    </row>
    <row r="14" spans="1:11" x14ac:dyDescent="0.3">
      <c r="A14" t="s">
        <v>4</v>
      </c>
      <c r="B14" t="s">
        <v>81</v>
      </c>
      <c r="C14">
        <v>1</v>
      </c>
      <c r="D14" t="str">
        <f t="shared" si="0"/>
        <v>MODULE_BATT_7  variable</v>
      </c>
      <c r="G14" s="3" t="str">
        <f>CONCATENATE("SVAR_",$B$5,"_",B14,"_",VLOOKUP(A14,misc!$C$2:$E$15,3,FALSE))</f>
        <v>SVAR_BMS_MODULE_BATT_7_u8</v>
      </c>
      <c r="H14" s="14">
        <f>(VLOOKUP(A14, misc!$C$2:$D$28, 2, FALSE))</f>
        <v>1</v>
      </c>
      <c r="I14" s="14">
        <f t="shared" si="1"/>
        <v>1</v>
      </c>
      <c r="J14" s="14">
        <f t="shared" si="2"/>
        <v>1</v>
      </c>
      <c r="K14" s="3" t="str">
        <f t="shared" si="2"/>
        <v>MODULE_BATT_7  variable</v>
      </c>
    </row>
    <row r="15" spans="1:11" x14ac:dyDescent="0.3">
      <c r="A15" t="s">
        <v>4</v>
      </c>
      <c r="B15" t="s">
        <v>82</v>
      </c>
      <c r="C15">
        <v>1</v>
      </c>
      <c r="D15" t="str">
        <f t="shared" si="0"/>
        <v>MODULE_BATT_8  variable</v>
      </c>
      <c r="G15" s="3" t="str">
        <f>CONCATENATE("SVAR_",$B$5,"_",B15,"_",VLOOKUP(A15,misc!$C$2:$E$15,3,FALSE))</f>
        <v>SVAR_BMS_MODULE_BATT_8_u8</v>
      </c>
      <c r="H15" s="14">
        <f>(VLOOKUP(A15, misc!$C$2:$D$28, 2, FALSE))</f>
        <v>1</v>
      </c>
      <c r="I15" s="14">
        <f t="shared" si="1"/>
        <v>1</v>
      </c>
      <c r="J15" s="14">
        <f t="shared" si="2"/>
        <v>1</v>
      </c>
      <c r="K15" s="3" t="str">
        <f t="shared" si="2"/>
        <v>MODULE_BATT_8  variable</v>
      </c>
    </row>
    <row r="16" spans="1:11" x14ac:dyDescent="0.3">
      <c r="A16" t="s">
        <v>8</v>
      </c>
      <c r="B16" t="s">
        <v>83</v>
      </c>
      <c r="C16">
        <v>1</v>
      </c>
      <c r="D16" t="str">
        <f t="shared" si="0"/>
        <v>MODULE_BATT_9  variable</v>
      </c>
      <c r="G16" s="3" t="str">
        <f>CONCATENATE("SVAR_",$B$5,"_",B16,"_",VLOOKUP(A16,misc!$C$2:$E$15,3,FALSE))</f>
        <v>SVAR_BMS_MODULE_BATT_9_u32</v>
      </c>
      <c r="H16" s="14">
        <f>(VLOOKUP(A16, misc!$C$2:$D$28, 2, FALSE))</f>
        <v>4</v>
      </c>
      <c r="I16" s="14">
        <f t="shared" si="1"/>
        <v>4</v>
      </c>
      <c r="J16" s="14">
        <f t="shared" si="2"/>
        <v>1</v>
      </c>
      <c r="K16" s="3" t="str">
        <f t="shared" si="2"/>
        <v>MODULE_BATT_9  variable</v>
      </c>
    </row>
    <row r="17" spans="1:11" x14ac:dyDescent="0.3">
      <c r="A17" t="s">
        <v>4</v>
      </c>
      <c r="B17" t="s">
        <v>84</v>
      </c>
      <c r="C17">
        <v>1</v>
      </c>
      <c r="D17" t="str">
        <f t="shared" si="0"/>
        <v>MODULE_BATT_10  variable</v>
      </c>
      <c r="G17" s="3" t="str">
        <f>CONCATENATE("SVAR_",$B$5,"_",B17,"_",VLOOKUP(A17,misc!$C$2:$E$15,3,FALSE))</f>
        <v>SVAR_BMS_MODULE_BATT_10_u8</v>
      </c>
      <c r="H17" s="14">
        <f>(VLOOKUP(A17, misc!$C$2:$D$28, 2, FALSE))</f>
        <v>1</v>
      </c>
      <c r="I17" s="14">
        <f t="shared" si="1"/>
        <v>1</v>
      </c>
      <c r="J17" s="14">
        <f t="shared" si="2"/>
        <v>1</v>
      </c>
      <c r="K17" s="3" t="str">
        <f t="shared" si="2"/>
        <v>MODULE_BATT_10  variable</v>
      </c>
    </row>
    <row r="18" spans="1:11" x14ac:dyDescent="0.3">
      <c r="A18" t="s">
        <v>4</v>
      </c>
      <c r="B18" t="s">
        <v>85</v>
      </c>
      <c r="C18">
        <v>1</v>
      </c>
      <c r="D18" t="str">
        <f t="shared" si="0"/>
        <v>MODULE_BATT_11  variable</v>
      </c>
      <c r="G18" s="3" t="str">
        <f>CONCATENATE("SVAR_",$B$5,"_",B18,"_",VLOOKUP(A18,misc!$C$2:$E$15,3,FALSE))</f>
        <v>SVAR_BMS_MODULE_BATT_11_u8</v>
      </c>
      <c r="H18" s="14">
        <f>(VLOOKUP(A18, misc!$C$2:$D$28, 2, FALSE))</f>
        <v>1</v>
      </c>
      <c r="I18" s="14">
        <f t="shared" si="1"/>
        <v>1</v>
      </c>
      <c r="J18" s="14">
        <f t="shared" si="2"/>
        <v>1</v>
      </c>
      <c r="K18" s="3" t="str">
        <f t="shared" si="2"/>
        <v>MODULE_BATT_11  variable</v>
      </c>
    </row>
    <row r="19" spans="1:11" x14ac:dyDescent="0.3">
      <c r="A19" t="s">
        <v>8</v>
      </c>
      <c r="B19" t="s">
        <v>86</v>
      </c>
      <c r="C19">
        <v>1</v>
      </c>
      <c r="D19" t="str">
        <f t="shared" si="0"/>
        <v>MODULE_BATT_12  variable</v>
      </c>
      <c r="G19" s="3" t="str">
        <f>CONCATENATE("SVAR_",$B$5,"_",B19,"_",VLOOKUP(A19,misc!$C$2:$E$15,3,FALSE))</f>
        <v>SVAR_BMS_MODULE_BATT_12_u32</v>
      </c>
      <c r="H19" s="14">
        <f>(VLOOKUP(A19, misc!$C$2:$D$28, 2, FALSE))</f>
        <v>4</v>
      </c>
      <c r="I19" s="14">
        <f t="shared" si="1"/>
        <v>4</v>
      </c>
      <c r="J19" s="14">
        <f t="shared" si="2"/>
        <v>1</v>
      </c>
      <c r="K19" s="3" t="str">
        <f t="shared" si="2"/>
        <v>MODULE_BATT_12  variable</v>
      </c>
    </row>
    <row r="20" spans="1:11" x14ac:dyDescent="0.3">
      <c r="A20" t="s">
        <v>4</v>
      </c>
      <c r="B20" t="s">
        <v>87</v>
      </c>
      <c r="C20">
        <v>2</v>
      </c>
      <c r="D20" t="str">
        <f t="shared" si="0"/>
        <v>MODULE_BATT_13  variable</v>
      </c>
      <c r="G20" s="3" t="str">
        <f>CONCATENATE("SVAR_",$B$5,"_",B20,"_",VLOOKUP(A20,misc!$C$2:$E$15,3,FALSE))</f>
        <v>SVAR_BMS_MODULE_BATT_13_u8</v>
      </c>
      <c r="H20" s="14">
        <f>(VLOOKUP(A20, misc!$C$2:$D$28, 2, FALSE))</f>
        <v>1</v>
      </c>
      <c r="I20" s="14">
        <f t="shared" si="1"/>
        <v>2</v>
      </c>
      <c r="J20" s="14">
        <f t="shared" si="2"/>
        <v>2</v>
      </c>
      <c r="K20" s="3" t="str">
        <f t="shared" si="2"/>
        <v>MODULE_BATT_13  variable</v>
      </c>
    </row>
    <row r="21" spans="1:11" x14ac:dyDescent="0.3">
      <c r="A21" t="s">
        <v>10</v>
      </c>
      <c r="B21" t="s">
        <v>88</v>
      </c>
      <c r="C21">
        <v>1</v>
      </c>
      <c r="D21" t="str">
        <f t="shared" si="0"/>
        <v>MODULE_BATT_14  variable</v>
      </c>
      <c r="G21" s="3" t="str">
        <f>CONCATENATE("SVAR_",$B$5,"_",B21,"_",VLOOKUP(A21,misc!$C$2:$E$15,3,FALSE))</f>
        <v>SVAR_BMS_MODULE_BATT_14_u64</v>
      </c>
      <c r="H21" s="14">
        <f>(VLOOKUP(A21, misc!$C$2:$D$28, 2, FALSE))</f>
        <v>8</v>
      </c>
      <c r="I21" s="14">
        <f t="shared" si="1"/>
        <v>8</v>
      </c>
      <c r="J21" s="14">
        <f t="shared" si="2"/>
        <v>1</v>
      </c>
      <c r="K21" s="3" t="str">
        <f t="shared" si="2"/>
        <v>MODULE_BATT_14  variable</v>
      </c>
    </row>
    <row r="22" spans="1:11" x14ac:dyDescent="0.3">
      <c r="A22" t="s">
        <v>4</v>
      </c>
      <c r="B22" t="s">
        <v>89</v>
      </c>
      <c r="C22">
        <v>1</v>
      </c>
      <c r="D22" t="str">
        <f t="shared" si="0"/>
        <v>MODULE_BATT_15  variable</v>
      </c>
      <c r="G22" s="3" t="str">
        <f>CONCATENATE("SVAR_",$B$5,"_",B22,"_",VLOOKUP(A22,misc!$C$2:$E$15,3,FALSE))</f>
        <v>SVAR_BMS_MODULE_BATT_15_u8</v>
      </c>
      <c r="H22" s="14">
        <f>(VLOOKUP(A22, misc!$C$2:$D$28, 2, FALSE))</f>
        <v>1</v>
      </c>
      <c r="I22" s="14">
        <f t="shared" si="1"/>
        <v>1</v>
      </c>
      <c r="J22" s="14">
        <f t="shared" si="2"/>
        <v>1</v>
      </c>
      <c r="K22" s="3" t="str">
        <f t="shared" si="2"/>
        <v>MODULE_BATT_15  variable</v>
      </c>
    </row>
    <row r="23" spans="1:11" x14ac:dyDescent="0.3">
      <c r="A23" t="s">
        <v>4</v>
      </c>
      <c r="B23" t="s">
        <v>90</v>
      </c>
      <c r="C23">
        <v>1</v>
      </c>
      <c r="D23" t="str">
        <f t="shared" si="0"/>
        <v>MODULE_BATT_16  variable</v>
      </c>
      <c r="G23" s="3" t="str">
        <f>CONCATENATE("SVAR_",$B$5,"_",B23,"_",VLOOKUP(A23,misc!$C$2:$E$15,3,FALSE))</f>
        <v>SVAR_BMS_MODULE_BATT_16_u8</v>
      </c>
      <c r="H23" s="14">
        <f>(VLOOKUP(A23, misc!$C$2:$D$28, 2, FALSE))</f>
        <v>1</v>
      </c>
      <c r="I23" s="14">
        <f t="shared" si="1"/>
        <v>1</v>
      </c>
      <c r="J23" s="14">
        <f t="shared" si="2"/>
        <v>1</v>
      </c>
      <c r="K23" s="3" t="str">
        <f t="shared" si="2"/>
        <v>MODULE_BATT_16  variable</v>
      </c>
    </row>
    <row r="24" spans="1:11" x14ac:dyDescent="0.3">
      <c r="A24" t="s">
        <v>22</v>
      </c>
      <c r="B24" t="s">
        <v>91</v>
      </c>
      <c r="C24">
        <v>1</v>
      </c>
      <c r="D24" t="str">
        <f t="shared" si="0"/>
        <v>MODULE_BATT_17  variable</v>
      </c>
      <c r="G24" s="3" t="str">
        <f>CONCATENATE("SVAR_",$B$5,"_",B24,"_",VLOOKUP(A24,misc!$C$2:$E$15,3,FALSE))</f>
        <v>SVAR_BMS_MODULE_BATT_17_b</v>
      </c>
      <c r="H24" s="14">
        <f>(VLOOKUP(A24, misc!$C$2:$D$28, 2, FALSE))</f>
        <v>1</v>
      </c>
      <c r="I24" s="14">
        <f t="shared" si="1"/>
        <v>1</v>
      </c>
      <c r="J24" s="14">
        <f t="shared" si="2"/>
        <v>1</v>
      </c>
      <c r="K24" s="3" t="str">
        <f t="shared" si="2"/>
        <v>MODULE_BATT_17  variable</v>
      </c>
    </row>
    <row r="25" spans="1:11" x14ac:dyDescent="0.3">
      <c r="A25" t="s">
        <v>22</v>
      </c>
      <c r="B25" t="s">
        <v>92</v>
      </c>
      <c r="C25">
        <v>1</v>
      </c>
      <c r="D25" t="str">
        <f t="shared" si="0"/>
        <v>MODULE_BATT_18  variable</v>
      </c>
      <c r="G25" s="3" t="str">
        <f>CONCATENATE("SVAR_",$B$5,"_",B25,"_",VLOOKUP(A25,misc!$C$2:$E$15,3,FALSE))</f>
        <v>SVAR_BMS_MODULE_BATT_18_b</v>
      </c>
      <c r="H25" s="14">
        <f>(VLOOKUP(A25, misc!$C$2:$D$28, 2, FALSE))</f>
        <v>1</v>
      </c>
      <c r="I25" s="14">
        <f t="shared" si="1"/>
        <v>1</v>
      </c>
      <c r="J25" s="14">
        <f t="shared" si="2"/>
        <v>1</v>
      </c>
      <c r="K25" s="3" t="str">
        <f t="shared" si="2"/>
        <v>MODULE_BATT_18  variable</v>
      </c>
    </row>
    <row r="26" spans="1:11" x14ac:dyDescent="0.3">
      <c r="A26" t="s">
        <v>4</v>
      </c>
      <c r="B26" t="s">
        <v>93</v>
      </c>
      <c r="C26">
        <v>1</v>
      </c>
      <c r="D26" t="str">
        <f t="shared" si="0"/>
        <v>MODULE_BATT_19  variable</v>
      </c>
      <c r="G26" s="3" t="str">
        <f>CONCATENATE("SVAR_",$B$5,"_",B26,"_",VLOOKUP(A26,misc!$C$2:$E$15,3,FALSE))</f>
        <v>SVAR_BMS_MODULE_BATT_19_u8</v>
      </c>
      <c r="H26" s="14">
        <f>(VLOOKUP(A26, misc!$C$2:$D$28, 2, FALSE))</f>
        <v>1</v>
      </c>
      <c r="I26" s="14">
        <f t="shared" si="1"/>
        <v>1</v>
      </c>
      <c r="J26" s="14">
        <f t="shared" si="2"/>
        <v>1</v>
      </c>
      <c r="K26" s="3" t="str">
        <f t="shared" si="2"/>
        <v>MODULE_BATT_19  variable</v>
      </c>
    </row>
    <row r="27" spans="1:11" x14ac:dyDescent="0.3">
      <c r="A27" t="s">
        <v>4</v>
      </c>
      <c r="B27" t="s">
        <v>94</v>
      </c>
      <c r="C27">
        <v>1</v>
      </c>
      <c r="D27" t="str">
        <f t="shared" si="0"/>
        <v>MODULE_BATT_20  variable</v>
      </c>
      <c r="G27" s="3" t="str">
        <f>CONCATENATE("SVAR_",$B$5,"_",B27,"_",VLOOKUP(A27,misc!$C$2:$E$15,3,FALSE))</f>
        <v>SVAR_BMS_MODULE_BATT_20_u8</v>
      </c>
      <c r="H27" s="14">
        <f>(VLOOKUP(A27, misc!$C$2:$D$28, 2, FALSE))</f>
        <v>1</v>
      </c>
      <c r="I27" s="14">
        <f t="shared" si="1"/>
        <v>1</v>
      </c>
      <c r="J27" s="14">
        <f t="shared" si="2"/>
        <v>1</v>
      </c>
      <c r="K27" s="3" t="str">
        <f t="shared" si="2"/>
        <v>MODULE_BATT_20  variable</v>
      </c>
    </row>
    <row r="28" spans="1:11" x14ac:dyDescent="0.3">
      <c r="A28" t="s">
        <v>4</v>
      </c>
      <c r="B28" t="s">
        <v>95</v>
      </c>
      <c r="C28">
        <v>1</v>
      </c>
      <c r="D28" t="str">
        <f t="shared" si="0"/>
        <v>MODULE_BATT_21  variable</v>
      </c>
      <c r="G28" s="3" t="str">
        <f>CONCATENATE("SVAR_",$B$5,"_",B28,"_",VLOOKUP(A28,misc!$C$2:$E$15,3,FALSE))</f>
        <v>SVAR_BMS_MODULE_BATT_21_u8</v>
      </c>
      <c r="H28" s="14">
        <f>(VLOOKUP(A28, misc!$C$2:$D$28, 2, FALSE))</f>
        <v>1</v>
      </c>
      <c r="I28" s="14">
        <f t="shared" si="1"/>
        <v>1</v>
      </c>
      <c r="J28" s="14">
        <f t="shared" si="2"/>
        <v>1</v>
      </c>
      <c r="K28" s="3" t="str">
        <f t="shared" si="2"/>
        <v>MODULE_BATT_21  variable</v>
      </c>
    </row>
    <row r="29" spans="1:11" x14ac:dyDescent="0.3">
      <c r="A29" t="s">
        <v>4</v>
      </c>
      <c r="B29" t="s">
        <v>96</v>
      </c>
      <c r="C29">
        <v>1</v>
      </c>
      <c r="D29" t="str">
        <f t="shared" si="0"/>
        <v>MODULE_BATT_22  variable</v>
      </c>
      <c r="G29" s="3" t="str">
        <f>CONCATENATE("SVAR_",$B$5,"_",B29,"_",VLOOKUP(A29,misc!$C$2:$E$15,3,FALSE))</f>
        <v>SVAR_BMS_MODULE_BATT_22_u8</v>
      </c>
      <c r="H29" s="14">
        <f>(VLOOKUP(A29, misc!$C$2:$D$28, 2, FALSE))</f>
        <v>1</v>
      </c>
      <c r="I29" s="14">
        <f t="shared" si="1"/>
        <v>1</v>
      </c>
      <c r="J29" s="14">
        <f t="shared" si="2"/>
        <v>1</v>
      </c>
      <c r="K29" s="3" t="str">
        <f t="shared" si="2"/>
        <v>MODULE_BATT_22  variable</v>
      </c>
    </row>
    <row r="30" spans="1:11" x14ac:dyDescent="0.3">
      <c r="A30" t="s">
        <v>4</v>
      </c>
      <c r="B30" t="s">
        <v>97</v>
      </c>
      <c r="C30">
        <v>1</v>
      </c>
      <c r="D30" t="str">
        <f t="shared" si="0"/>
        <v>MODULE_BATT_23  variable</v>
      </c>
      <c r="G30" s="3" t="str">
        <f>CONCATENATE("SVAR_",$B$5,"_",B30,"_",VLOOKUP(A30,misc!$C$2:$E$15,3,FALSE))</f>
        <v>SVAR_BMS_MODULE_BATT_23_u8</v>
      </c>
      <c r="H30" s="14">
        <f>(VLOOKUP(A30, misc!$C$2:$D$28, 2, FALSE))</f>
        <v>1</v>
      </c>
      <c r="I30" s="14">
        <f t="shared" si="1"/>
        <v>1</v>
      </c>
      <c r="J30" s="14">
        <f t="shared" si="2"/>
        <v>1</v>
      </c>
      <c r="K30" s="3" t="str">
        <f t="shared" si="2"/>
        <v>MODULE_BATT_23  variable</v>
      </c>
    </row>
    <row r="31" spans="1:11" x14ac:dyDescent="0.3">
      <c r="A31" t="s">
        <v>23</v>
      </c>
      <c r="B31" t="s">
        <v>98</v>
      </c>
      <c r="C31">
        <v>1</v>
      </c>
      <c r="D31" t="str">
        <f t="shared" si="0"/>
        <v>MODULE_BATT_24  variable</v>
      </c>
      <c r="G31" s="3" t="str">
        <f>CONCATENATE("SVAR_",$B$5,"_",B31,"_",VLOOKUP(A31,misc!$C$2:$E$15,3,FALSE))</f>
        <v>SVAR_BMS_MODULE_BATT_24_add</v>
      </c>
      <c r="H31" s="14">
        <f>(VLOOKUP(A31, misc!$C$2:$D$28, 2, FALSE))</f>
        <v>4</v>
      </c>
      <c r="I31" s="14">
        <f t="shared" si="1"/>
        <v>4</v>
      </c>
      <c r="J31" s="14">
        <f t="shared" si="2"/>
        <v>1</v>
      </c>
      <c r="K31" s="3" t="str">
        <f t="shared" si="2"/>
        <v>MODULE_BATT_24  variable</v>
      </c>
    </row>
    <row r="32" spans="1:11" x14ac:dyDescent="0.3">
      <c r="A32" t="s">
        <v>4</v>
      </c>
      <c r="B32" t="s">
        <v>99</v>
      </c>
      <c r="C32">
        <v>1</v>
      </c>
      <c r="D32" t="str">
        <f t="shared" si="0"/>
        <v>MODULE_BATT_25  variable</v>
      </c>
      <c r="G32" s="3" t="str">
        <f>CONCATENATE("SVAR_",$B$5,"_",B32,"_",VLOOKUP(A32,misc!$C$2:$E$15,3,FALSE))</f>
        <v>SVAR_BMS_MODULE_BATT_25_u8</v>
      </c>
      <c r="H32" s="14">
        <f>(VLOOKUP(A32, misc!$C$2:$D$28, 2, FALSE))</f>
        <v>1</v>
      </c>
      <c r="I32" s="14">
        <f t="shared" si="1"/>
        <v>1</v>
      </c>
      <c r="J32" s="14">
        <f t="shared" si="2"/>
        <v>1</v>
      </c>
      <c r="K32" s="3" t="str">
        <f t="shared" si="2"/>
        <v>MODULE_BATT_25  variable</v>
      </c>
    </row>
    <row r="33" spans="1:11" x14ac:dyDescent="0.3">
      <c r="A33" t="s">
        <v>4</v>
      </c>
      <c r="B33" t="s">
        <v>100</v>
      </c>
      <c r="C33">
        <v>1</v>
      </c>
      <c r="D33" t="str">
        <f t="shared" si="0"/>
        <v>MODULE_BATT_26  variable</v>
      </c>
      <c r="G33" s="3" t="str">
        <f>CONCATENATE("SVAR_",$B$5,"_",B33,"_",VLOOKUP(A33,misc!$C$2:$E$15,3,FALSE))</f>
        <v>SVAR_BMS_MODULE_BATT_26_u8</v>
      </c>
      <c r="H33" s="14">
        <f>(VLOOKUP(A33, misc!$C$2:$D$28, 2, FALSE))</f>
        <v>1</v>
      </c>
      <c r="I33" s="14">
        <f t="shared" si="1"/>
        <v>1</v>
      </c>
      <c r="J33" s="14">
        <f t="shared" si="2"/>
        <v>1</v>
      </c>
      <c r="K33" s="3" t="str">
        <f t="shared" si="2"/>
        <v>MODULE_BATT_26  variable</v>
      </c>
    </row>
    <row r="34" spans="1:11" x14ac:dyDescent="0.3">
      <c r="A34" t="s">
        <v>4</v>
      </c>
      <c r="B34" t="s">
        <v>101</v>
      </c>
      <c r="C34">
        <v>1</v>
      </c>
      <c r="D34" t="str">
        <f t="shared" si="0"/>
        <v>MODULE_BATT_27  variable</v>
      </c>
      <c r="G34" s="3" t="str">
        <f>CONCATENATE("SVAR_",$B$5,"_",B34,"_",VLOOKUP(A34,misc!$C$2:$E$15,3,FALSE))</f>
        <v>SVAR_BMS_MODULE_BATT_27_u8</v>
      </c>
      <c r="H34" s="14">
        <f>(VLOOKUP(A34, misc!$C$2:$D$28, 2, FALSE))</f>
        <v>1</v>
      </c>
      <c r="I34" s="14">
        <f t="shared" si="1"/>
        <v>1</v>
      </c>
      <c r="J34" s="14">
        <f t="shared" si="2"/>
        <v>1</v>
      </c>
      <c r="K34" s="3" t="str">
        <f t="shared" si="2"/>
        <v>MODULE_BATT_27  variable</v>
      </c>
    </row>
    <row r="35" spans="1:11" x14ac:dyDescent="0.3">
      <c r="A35" t="s">
        <v>4</v>
      </c>
      <c r="B35" t="s">
        <v>102</v>
      </c>
      <c r="C35">
        <v>1</v>
      </c>
      <c r="D35" t="str">
        <f t="shared" si="0"/>
        <v>MODULE_BATT_28  variable</v>
      </c>
      <c r="G35" s="3" t="str">
        <f>CONCATENATE("SVAR_",$B$5,"_",B35,"_",VLOOKUP(A35,misc!$C$2:$E$15,3,FALSE))</f>
        <v>SVAR_BMS_MODULE_BATT_28_u8</v>
      </c>
      <c r="H35" s="14">
        <f>(VLOOKUP(A35, misc!$C$2:$D$28, 2, FALSE))</f>
        <v>1</v>
      </c>
      <c r="I35" s="14">
        <f t="shared" si="1"/>
        <v>1</v>
      </c>
      <c r="J35" s="14">
        <f t="shared" si="2"/>
        <v>1</v>
      </c>
      <c r="K35" s="3" t="str">
        <f t="shared" si="2"/>
        <v>MODULE_BATT_28  variable</v>
      </c>
    </row>
    <row r="36" spans="1:11" x14ac:dyDescent="0.3">
      <c r="A36" t="s">
        <v>13</v>
      </c>
      <c r="B36" t="s">
        <v>103</v>
      </c>
      <c r="C36">
        <v>1</v>
      </c>
      <c r="D36" t="str">
        <f t="shared" si="0"/>
        <v>MODULE_BATT_29  variable</v>
      </c>
      <c r="G36" s="3" t="str">
        <f>CONCATENATE("SVAR_",$B$5,"_",B36,"_",VLOOKUP(A36,misc!$C$2:$E$15,3,FALSE))</f>
        <v>SVAR_BMS_MODULE_BATT_29_f</v>
      </c>
      <c r="H36" s="14">
        <f>(VLOOKUP(A36, misc!$C$2:$D$28, 2, FALSE))</f>
        <v>4</v>
      </c>
      <c r="I36" s="14">
        <f t="shared" si="1"/>
        <v>4</v>
      </c>
      <c r="J36" s="14">
        <f t="shared" si="2"/>
        <v>1</v>
      </c>
      <c r="K36" s="3" t="str">
        <f t="shared" si="2"/>
        <v>MODULE_BATT_29  variable</v>
      </c>
    </row>
    <row r="37" spans="1:11" x14ac:dyDescent="0.3">
      <c r="A37" t="s">
        <v>4</v>
      </c>
      <c r="B37" t="s">
        <v>104</v>
      </c>
      <c r="C37">
        <v>1</v>
      </c>
      <c r="D37" t="str">
        <f t="shared" si="0"/>
        <v>MODULE_BATT_30  variable</v>
      </c>
      <c r="G37" s="3" t="str">
        <f>CONCATENATE("SVAR_",$B$5,"_",B37,"_",VLOOKUP(A37,misc!$C$2:$E$15,3,FALSE))</f>
        <v>SVAR_BMS_MODULE_BATT_30_u8</v>
      </c>
      <c r="H37" s="14">
        <f>(VLOOKUP(A37, misc!$C$2:$D$28, 2, FALSE))</f>
        <v>1</v>
      </c>
      <c r="I37" s="14">
        <f t="shared" si="1"/>
        <v>1</v>
      </c>
      <c r="J37" s="14">
        <f t="shared" si="2"/>
        <v>1</v>
      </c>
      <c r="K37" s="3" t="str">
        <f t="shared" si="2"/>
        <v>MODULE_BATT_30  variable</v>
      </c>
    </row>
    <row r="38" spans="1:11" x14ac:dyDescent="0.3">
      <c r="A38" t="s">
        <v>4</v>
      </c>
      <c r="B38" t="s">
        <v>105</v>
      </c>
      <c r="C38">
        <v>1</v>
      </c>
      <c r="D38" t="str">
        <f t="shared" si="0"/>
        <v>MODULE_BATT_31  variable</v>
      </c>
      <c r="G38" s="3" t="str">
        <f>CONCATENATE("SVAR_",$B$5,"_",B38,"_",VLOOKUP(A38,misc!$C$2:$E$15,3,FALSE))</f>
        <v>SVAR_BMS_MODULE_BATT_31_u8</v>
      </c>
      <c r="H38" s="14">
        <f>(VLOOKUP(A38, misc!$C$2:$D$28, 2, FALSE))</f>
        <v>1</v>
      </c>
      <c r="I38" s="14">
        <f t="shared" si="1"/>
        <v>1</v>
      </c>
      <c r="J38" s="14">
        <f t="shared" si="2"/>
        <v>1</v>
      </c>
      <c r="K38" s="3" t="str">
        <f t="shared" si="2"/>
        <v>MODULE_BATT_31  variable</v>
      </c>
    </row>
    <row r="39" spans="1:11" x14ac:dyDescent="0.3">
      <c r="A39" t="s">
        <v>4</v>
      </c>
      <c r="B39" t="s">
        <v>106</v>
      </c>
      <c r="C39">
        <v>1</v>
      </c>
      <c r="D39" t="str">
        <f t="shared" si="0"/>
        <v>MODULE_BATT_32  variable</v>
      </c>
      <c r="G39" s="3" t="str">
        <f>CONCATENATE("SVAR_",$B$5,"_",B39,"_",VLOOKUP(A39,misc!$C$2:$E$15,3,FALSE))</f>
        <v>SVAR_BMS_MODULE_BATT_32_u8</v>
      </c>
      <c r="H39" s="14">
        <f>(VLOOKUP(A39, misc!$C$2:$D$28, 2, FALSE))</f>
        <v>1</v>
      </c>
      <c r="I39" s="14">
        <f t="shared" si="1"/>
        <v>1</v>
      </c>
      <c r="J39" s="14">
        <f t="shared" si="2"/>
        <v>1</v>
      </c>
      <c r="K39" s="3" t="str">
        <f t="shared" si="2"/>
        <v>MODULE_BATT_32  variable</v>
      </c>
    </row>
    <row r="40" spans="1:11" x14ac:dyDescent="0.3">
      <c r="A40" t="s">
        <v>5</v>
      </c>
      <c r="B40" t="s">
        <v>107</v>
      </c>
      <c r="C40">
        <v>1</v>
      </c>
      <c r="D40" t="str">
        <f t="shared" si="0"/>
        <v>MODULE_BATT_33  variable</v>
      </c>
      <c r="G40" s="3" t="str">
        <f>CONCATENATE("SVAR_",$B$5,"_",B40,"_",VLOOKUP(A40,misc!$C$2:$E$15,3,FALSE))</f>
        <v>SVAR_BMS_MODULE_BATT_33_s8</v>
      </c>
      <c r="H40" s="14">
        <f>(VLOOKUP(A40, misc!$C$2:$D$28, 2, FALSE))</f>
        <v>1</v>
      </c>
      <c r="I40" s="14">
        <f t="shared" si="1"/>
        <v>1</v>
      </c>
      <c r="J40" s="14">
        <f t="shared" si="2"/>
        <v>1</v>
      </c>
      <c r="K40" s="3" t="str">
        <f t="shared" si="2"/>
        <v>MODULE_BATT_33  variable</v>
      </c>
    </row>
    <row r="41" spans="1:11" x14ac:dyDescent="0.3">
      <c r="A41" t="s">
        <v>22</v>
      </c>
      <c r="B41" t="s">
        <v>108</v>
      </c>
      <c r="C41">
        <v>1</v>
      </c>
      <c r="D41" t="str">
        <f t="shared" si="0"/>
        <v>MODULE_BATT_34  variable</v>
      </c>
      <c r="G41" s="3" t="str">
        <f>CONCATENATE("SVAR_",$B$5,"_",B41,"_",VLOOKUP(A41,misc!$C$2:$E$15,3,FALSE))</f>
        <v>SVAR_BMS_MODULE_BATT_34_b</v>
      </c>
      <c r="H41" s="14">
        <f>(VLOOKUP(A41, misc!$C$2:$D$28, 2, FALSE))</f>
        <v>1</v>
      </c>
      <c r="I41" s="14">
        <f t="shared" si="1"/>
        <v>1</v>
      </c>
      <c r="J41" s="14">
        <f t="shared" si="2"/>
        <v>1</v>
      </c>
      <c r="K41" s="3" t="str">
        <f t="shared" si="2"/>
        <v>MODULE_BATT_34  variable</v>
      </c>
    </row>
    <row r="42" spans="1:11" x14ac:dyDescent="0.3">
      <c r="A42" t="s">
        <v>9</v>
      </c>
      <c r="B42" t="s">
        <v>109</v>
      </c>
      <c r="C42">
        <v>1</v>
      </c>
      <c r="D42" t="str">
        <f t="shared" si="0"/>
        <v>MODULE_BATT_35  variable</v>
      </c>
      <c r="G42" s="3" t="str">
        <f>CONCATENATE("SVAR_",$B$5,"_",B42,"_",VLOOKUP(A42,misc!$C$2:$E$15,3,FALSE))</f>
        <v>SVAR_BMS_MODULE_BATT_35_s32</v>
      </c>
      <c r="H42" s="14">
        <f>(VLOOKUP(A42, misc!$C$2:$D$28, 2, FALSE))</f>
        <v>4</v>
      </c>
      <c r="I42" s="14">
        <f t="shared" si="1"/>
        <v>4</v>
      </c>
      <c r="J42" s="14">
        <f t="shared" si="2"/>
        <v>1</v>
      </c>
      <c r="K42" s="3" t="str">
        <f t="shared" si="2"/>
        <v>MODULE_BATT_35  variable</v>
      </c>
    </row>
  </sheetData>
  <mergeCells count="1">
    <mergeCell ref="G6:K6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F3E777F-0B23-4F4F-BD69-59B5DAA90CED}">
          <x14:formula1>
            <xm:f>misc!$C$2:$C$22</xm:f>
          </x14:formula1>
          <xm:sqref>A8:A42</xm:sqref>
        </x14:dataValidation>
        <x14:dataValidation type="list" allowBlank="1" showInputMessage="1" showErrorMessage="1" xr:uid="{86C1916D-02CA-40CF-AEEB-04F633FB670E}">
          <x14:formula1>
            <xm:f>misc!$A$2:$A$13</xm:f>
          </x14:formula1>
          <xm:sqref>B2</xm:sqref>
        </x14:dataValidation>
        <x14:dataValidation type="list" allowBlank="1" showInputMessage="1" showErrorMessage="1" xr:uid="{A19F6699-9FD9-448A-90C1-6BC5E06A2DF1}">
          <x14:formula1>
            <xm:f>misc!$B$2:$B$4</xm:f>
          </x14:formula1>
          <xm:sqref>B3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456CB-B963-4A8B-8F1F-1EA864C5E915}">
  <dimension ref="A1:K42"/>
  <sheetViews>
    <sheetView workbookViewId="0">
      <selection activeCell="G3" sqref="G3"/>
    </sheetView>
  </sheetViews>
  <sheetFormatPr defaultRowHeight="14.4" x14ac:dyDescent="0.3"/>
  <cols>
    <col min="1" max="1" width="19.33203125" customWidth="1"/>
    <col min="2" max="2" width="25.88671875" customWidth="1"/>
    <col min="3" max="3" width="9.88671875" customWidth="1"/>
    <col min="4" max="4" width="43.44140625" customWidth="1"/>
    <col min="5" max="5" width="11.6640625" customWidth="1"/>
    <col min="6" max="6" width="7.44140625" customWidth="1"/>
    <col min="7" max="7" width="33.6640625" style="3" customWidth="1"/>
    <col min="8" max="8" width="7.88671875" style="14" customWidth="1"/>
    <col min="9" max="10" width="6.5546875" style="14" customWidth="1"/>
    <col min="11" max="11" width="26" style="3" customWidth="1"/>
  </cols>
  <sheetData>
    <row r="1" spans="1:11" x14ac:dyDescent="0.3">
      <c r="A1" s="16" t="s">
        <v>71</v>
      </c>
      <c r="B1" s="19" t="s">
        <v>72</v>
      </c>
      <c r="G1" s="8"/>
      <c r="H1" s="12"/>
      <c r="I1" s="12"/>
      <c r="J1" s="12"/>
      <c r="K1" s="8"/>
    </row>
    <row r="2" spans="1:11" x14ac:dyDescent="0.3">
      <c r="A2" s="1" t="s">
        <v>0</v>
      </c>
      <c r="B2" t="s">
        <v>63</v>
      </c>
      <c r="G2" s="8"/>
      <c r="H2" s="12"/>
      <c r="I2" s="12"/>
      <c r="J2" s="12"/>
      <c r="K2" s="8"/>
    </row>
    <row r="3" spans="1:11" x14ac:dyDescent="0.3">
      <c r="A3" s="1" t="s">
        <v>15</v>
      </c>
      <c r="B3" t="s">
        <v>19</v>
      </c>
      <c r="G3" s="8"/>
      <c r="H3" s="12"/>
      <c r="I3" s="12"/>
      <c r="J3" s="12"/>
      <c r="K3" s="8"/>
    </row>
    <row r="4" spans="1:11" x14ac:dyDescent="0.3">
      <c r="A4" s="1" t="s">
        <v>48</v>
      </c>
      <c r="B4" s="4">
        <v>0</v>
      </c>
      <c r="C4" s="1" t="s">
        <v>25</v>
      </c>
      <c r="G4" s="8"/>
      <c r="H4" s="12"/>
      <c r="I4" s="12"/>
      <c r="J4" s="12"/>
      <c r="K4" s="8"/>
    </row>
    <row r="5" spans="1:11" x14ac:dyDescent="0.3">
      <c r="A5" s="1" t="s">
        <v>20</v>
      </c>
      <c r="B5" s="4" t="s">
        <v>74</v>
      </c>
      <c r="G5" s="8"/>
      <c r="H5" s="12"/>
      <c r="I5" s="12"/>
      <c r="J5" s="12"/>
      <c r="K5" s="8"/>
    </row>
    <row r="6" spans="1:11" x14ac:dyDescent="0.3">
      <c r="A6" s="1" t="s">
        <v>24</v>
      </c>
      <c r="B6" s="4">
        <v>0</v>
      </c>
      <c r="C6" s="1" t="s">
        <v>26</v>
      </c>
      <c r="G6" s="21" t="s">
        <v>46</v>
      </c>
      <c r="H6" s="21"/>
      <c r="I6" s="21"/>
      <c r="J6" s="21"/>
      <c r="K6" s="21"/>
    </row>
    <row r="7" spans="1:11" x14ac:dyDescent="0.3">
      <c r="A7" s="1" t="s">
        <v>27</v>
      </c>
      <c r="B7" s="1" t="s">
        <v>28</v>
      </c>
      <c r="C7" s="1" t="s">
        <v>68</v>
      </c>
      <c r="D7" s="1" t="s">
        <v>29</v>
      </c>
      <c r="E7" s="1"/>
      <c r="G7" s="2" t="s">
        <v>182</v>
      </c>
      <c r="H7" s="15" t="s">
        <v>180</v>
      </c>
      <c r="I7" s="15" t="s">
        <v>181</v>
      </c>
      <c r="J7" s="15" t="s">
        <v>70</v>
      </c>
      <c r="K7" s="11" t="s">
        <v>64</v>
      </c>
    </row>
    <row r="8" spans="1:11" x14ac:dyDescent="0.3">
      <c r="A8" t="s">
        <v>4</v>
      </c>
      <c r="B8" t="s">
        <v>110</v>
      </c>
      <c r="C8">
        <v>10</v>
      </c>
      <c r="D8" t="str">
        <f t="shared" ref="D8:D42" si="0">CONCATENATE(B8,"  variable")</f>
        <v>Module_ADC_1  variable</v>
      </c>
      <c r="G8" s="10" t="str">
        <f>CONCATENATE("SVAR_",$B$5,"_",B8,"_",VLOOKUP(A8,misc!$C$2:$E$15,3,FALSE))</f>
        <v>SVAR_CAL_Module_ADC_1_u8</v>
      </c>
      <c r="H8" s="14">
        <f>(VLOOKUP(A8, misc!$C$2:$D$28, 2, FALSE))</f>
        <v>1</v>
      </c>
      <c r="I8" s="14">
        <f>H8* C8</f>
        <v>10</v>
      </c>
      <c r="J8" s="14">
        <f>C8</f>
        <v>10</v>
      </c>
      <c r="K8" s="3" t="str">
        <f>D8</f>
        <v>Module_ADC_1  variable</v>
      </c>
    </row>
    <row r="9" spans="1:11" x14ac:dyDescent="0.3">
      <c r="A9" t="s">
        <v>4</v>
      </c>
      <c r="B9" t="s">
        <v>111</v>
      </c>
      <c r="C9">
        <v>1</v>
      </c>
      <c r="D9" t="str">
        <f t="shared" si="0"/>
        <v>Module_ADC_2  variable</v>
      </c>
      <c r="G9" s="3" t="str">
        <f>CONCATENATE("SVAR_",$B$5,"_",B9,"_",VLOOKUP(A9,misc!$C$2:$E$15,3,FALSE))</f>
        <v>SVAR_CAL_Module_ADC_2_u8</v>
      </c>
      <c r="H9" s="14">
        <f>(VLOOKUP(A9, misc!$C$2:$D$28, 2, FALSE))</f>
        <v>1</v>
      </c>
      <c r="I9" s="14">
        <f t="shared" ref="I9:I42" si="1">H9* C9</f>
        <v>1</v>
      </c>
      <c r="J9" s="14">
        <f t="shared" ref="J9:K42" si="2">C9</f>
        <v>1</v>
      </c>
      <c r="K9" s="3" t="str">
        <f t="shared" si="2"/>
        <v>Module_ADC_2  variable</v>
      </c>
    </row>
    <row r="10" spans="1:11" x14ac:dyDescent="0.3">
      <c r="A10" t="s">
        <v>4</v>
      </c>
      <c r="B10" t="s">
        <v>112</v>
      </c>
      <c r="C10">
        <v>1</v>
      </c>
      <c r="D10" t="str">
        <f t="shared" si="0"/>
        <v>Module_ADC_3  variable</v>
      </c>
      <c r="G10" s="3" t="str">
        <f>CONCATENATE("SVAR_",$B$5,"_",B10,"_",VLOOKUP(A10,misc!$C$2:$E$15,3,FALSE))</f>
        <v>SVAR_CAL_Module_ADC_3_u8</v>
      </c>
      <c r="H10" s="14">
        <f>(VLOOKUP(A10, misc!$C$2:$D$28, 2, FALSE))</f>
        <v>1</v>
      </c>
      <c r="I10" s="14">
        <f t="shared" si="1"/>
        <v>1</v>
      </c>
      <c r="J10" s="14">
        <f t="shared" si="2"/>
        <v>1</v>
      </c>
      <c r="K10" s="3" t="str">
        <f t="shared" si="2"/>
        <v>Module_ADC_3  variable</v>
      </c>
    </row>
    <row r="11" spans="1:11" x14ac:dyDescent="0.3">
      <c r="A11" t="s">
        <v>7</v>
      </c>
      <c r="B11" t="s">
        <v>113</v>
      </c>
      <c r="C11">
        <v>1</v>
      </c>
      <c r="D11" t="str">
        <f t="shared" si="0"/>
        <v>Module_ADC_4  variable</v>
      </c>
      <c r="G11" s="3" t="str">
        <f>CONCATENATE("SVAR_",$B$5,"_",B11,"_",VLOOKUP(A11,misc!$C$2:$E$15,3,FALSE))</f>
        <v>SVAR_CAL_Module_ADC_4_s16</v>
      </c>
      <c r="H11" s="14">
        <f>(VLOOKUP(A11, misc!$C$2:$D$28, 2, FALSE))</f>
        <v>2</v>
      </c>
      <c r="I11" s="14">
        <f t="shared" si="1"/>
        <v>2</v>
      </c>
      <c r="J11" s="14">
        <f t="shared" si="2"/>
        <v>1</v>
      </c>
      <c r="K11" s="3" t="str">
        <f t="shared" si="2"/>
        <v>Module_ADC_4  variable</v>
      </c>
    </row>
    <row r="12" spans="1:11" x14ac:dyDescent="0.3">
      <c r="A12" t="s">
        <v>4</v>
      </c>
      <c r="B12" t="s">
        <v>114</v>
      </c>
      <c r="C12">
        <v>1</v>
      </c>
      <c r="D12" t="str">
        <f t="shared" si="0"/>
        <v>Module_ADC_5  variable</v>
      </c>
      <c r="G12" s="3" t="str">
        <f>CONCATENATE("SVAR_",$B$5,"_",B12,"_",VLOOKUP(A12,misc!$C$2:$E$15,3,FALSE))</f>
        <v>SVAR_CAL_Module_ADC_5_u8</v>
      </c>
      <c r="H12" s="14">
        <f>(VLOOKUP(A12, misc!$C$2:$D$28, 2, FALSE))</f>
        <v>1</v>
      </c>
      <c r="I12" s="14">
        <f t="shared" si="1"/>
        <v>1</v>
      </c>
      <c r="J12" s="14">
        <f t="shared" si="2"/>
        <v>1</v>
      </c>
      <c r="K12" s="3" t="str">
        <f t="shared" si="2"/>
        <v>Module_ADC_5  variable</v>
      </c>
    </row>
    <row r="13" spans="1:11" x14ac:dyDescent="0.3">
      <c r="A13" t="s">
        <v>4</v>
      </c>
      <c r="B13" t="s">
        <v>115</v>
      </c>
      <c r="C13">
        <v>1</v>
      </c>
      <c r="D13" t="str">
        <f t="shared" si="0"/>
        <v>Module_ADC_6  variable</v>
      </c>
      <c r="G13" s="3" t="str">
        <f>CONCATENATE("SVAR_",$B$5,"_",B13,"_",VLOOKUP(A13,misc!$C$2:$E$15,3,FALSE))</f>
        <v>SVAR_CAL_Module_ADC_6_u8</v>
      </c>
      <c r="H13" s="14">
        <f>(VLOOKUP(A13, misc!$C$2:$D$28, 2, FALSE))</f>
        <v>1</v>
      </c>
      <c r="I13" s="14">
        <f t="shared" si="1"/>
        <v>1</v>
      </c>
      <c r="J13" s="14">
        <f t="shared" si="2"/>
        <v>1</v>
      </c>
      <c r="K13" s="3" t="str">
        <f t="shared" si="2"/>
        <v>Module_ADC_6  variable</v>
      </c>
    </row>
    <row r="14" spans="1:11" x14ac:dyDescent="0.3">
      <c r="A14" t="s">
        <v>4</v>
      </c>
      <c r="B14" t="s">
        <v>116</v>
      </c>
      <c r="C14">
        <v>1</v>
      </c>
      <c r="D14" t="str">
        <f t="shared" si="0"/>
        <v>Module_ADC_7  variable</v>
      </c>
      <c r="G14" s="3" t="str">
        <f>CONCATENATE("SVAR_",$B$5,"_",B14,"_",VLOOKUP(A14,misc!$C$2:$E$15,3,FALSE))</f>
        <v>SVAR_CAL_Module_ADC_7_u8</v>
      </c>
      <c r="H14" s="14">
        <f>(VLOOKUP(A14, misc!$C$2:$D$28, 2, FALSE))</f>
        <v>1</v>
      </c>
      <c r="I14" s="14">
        <f t="shared" si="1"/>
        <v>1</v>
      </c>
      <c r="J14" s="14">
        <f t="shared" si="2"/>
        <v>1</v>
      </c>
      <c r="K14" s="3" t="str">
        <f t="shared" si="2"/>
        <v>Module_ADC_7  variable</v>
      </c>
    </row>
    <row r="15" spans="1:11" x14ac:dyDescent="0.3">
      <c r="A15" t="s">
        <v>4</v>
      </c>
      <c r="B15" t="s">
        <v>117</v>
      </c>
      <c r="C15">
        <v>1</v>
      </c>
      <c r="D15" t="str">
        <f t="shared" si="0"/>
        <v>Module_ADC_8  variable</v>
      </c>
      <c r="G15" s="3" t="str">
        <f>CONCATENATE("SVAR_",$B$5,"_",B15,"_",VLOOKUP(A15,misc!$C$2:$E$15,3,FALSE))</f>
        <v>SVAR_CAL_Module_ADC_8_u8</v>
      </c>
      <c r="H15" s="14">
        <f>(VLOOKUP(A15, misc!$C$2:$D$28, 2, FALSE))</f>
        <v>1</v>
      </c>
      <c r="I15" s="14">
        <f t="shared" si="1"/>
        <v>1</v>
      </c>
      <c r="J15" s="14">
        <f t="shared" si="2"/>
        <v>1</v>
      </c>
      <c r="K15" s="3" t="str">
        <f t="shared" si="2"/>
        <v>Module_ADC_8  variable</v>
      </c>
    </row>
    <row r="16" spans="1:11" x14ac:dyDescent="0.3">
      <c r="A16" t="s">
        <v>8</v>
      </c>
      <c r="B16" t="s">
        <v>118</v>
      </c>
      <c r="C16">
        <v>1</v>
      </c>
      <c r="D16" t="str">
        <f t="shared" si="0"/>
        <v>Module_ADC_9  variable</v>
      </c>
      <c r="G16" s="3" t="str">
        <f>CONCATENATE("SVAR_",$B$5,"_",B16,"_",VLOOKUP(A16,misc!$C$2:$E$15,3,FALSE))</f>
        <v>SVAR_CAL_Module_ADC_9_u32</v>
      </c>
      <c r="H16" s="14">
        <f>(VLOOKUP(A16, misc!$C$2:$D$28, 2, FALSE))</f>
        <v>4</v>
      </c>
      <c r="I16" s="14">
        <f t="shared" si="1"/>
        <v>4</v>
      </c>
      <c r="J16" s="14">
        <f t="shared" si="2"/>
        <v>1</v>
      </c>
      <c r="K16" s="3" t="str">
        <f t="shared" si="2"/>
        <v>Module_ADC_9  variable</v>
      </c>
    </row>
    <row r="17" spans="1:11" x14ac:dyDescent="0.3">
      <c r="A17" t="s">
        <v>4</v>
      </c>
      <c r="B17" t="s">
        <v>119</v>
      </c>
      <c r="C17">
        <v>1</v>
      </c>
      <c r="D17" t="str">
        <f t="shared" si="0"/>
        <v>Module_ADC_10  variable</v>
      </c>
      <c r="G17" s="3" t="str">
        <f>CONCATENATE("SVAR_",$B$5,"_",B17,"_",VLOOKUP(A17,misc!$C$2:$E$15,3,FALSE))</f>
        <v>SVAR_CAL_Module_ADC_10_u8</v>
      </c>
      <c r="H17" s="14">
        <f>(VLOOKUP(A17, misc!$C$2:$D$28, 2, FALSE))</f>
        <v>1</v>
      </c>
      <c r="I17" s="14">
        <f t="shared" si="1"/>
        <v>1</v>
      </c>
      <c r="J17" s="14">
        <f t="shared" si="2"/>
        <v>1</v>
      </c>
      <c r="K17" s="3" t="str">
        <f t="shared" si="2"/>
        <v>Module_ADC_10  variable</v>
      </c>
    </row>
    <row r="18" spans="1:11" x14ac:dyDescent="0.3">
      <c r="A18" t="s">
        <v>4</v>
      </c>
      <c r="B18" t="s">
        <v>120</v>
      </c>
      <c r="C18">
        <v>1</v>
      </c>
      <c r="D18" t="str">
        <f t="shared" si="0"/>
        <v>Module_ADC_11  variable</v>
      </c>
      <c r="G18" s="3" t="str">
        <f>CONCATENATE("SVAR_",$B$5,"_",B18,"_",VLOOKUP(A18,misc!$C$2:$E$15,3,FALSE))</f>
        <v>SVAR_CAL_Module_ADC_11_u8</v>
      </c>
      <c r="H18" s="14">
        <f>(VLOOKUP(A18, misc!$C$2:$D$28, 2, FALSE))</f>
        <v>1</v>
      </c>
      <c r="I18" s="14">
        <f t="shared" si="1"/>
        <v>1</v>
      </c>
      <c r="J18" s="14">
        <f t="shared" si="2"/>
        <v>1</v>
      </c>
      <c r="K18" s="3" t="str">
        <f t="shared" si="2"/>
        <v>Module_ADC_11  variable</v>
      </c>
    </row>
    <row r="19" spans="1:11" x14ac:dyDescent="0.3">
      <c r="A19" t="s">
        <v>8</v>
      </c>
      <c r="B19" t="s">
        <v>121</v>
      </c>
      <c r="C19">
        <v>1</v>
      </c>
      <c r="D19" t="str">
        <f t="shared" si="0"/>
        <v>Module_ADC_12  variable</v>
      </c>
      <c r="G19" s="3" t="str">
        <f>CONCATENATE("SVAR_",$B$5,"_",B19,"_",VLOOKUP(A19,misc!$C$2:$E$15,3,FALSE))</f>
        <v>SVAR_CAL_Module_ADC_12_u32</v>
      </c>
      <c r="H19" s="14">
        <f>(VLOOKUP(A19, misc!$C$2:$D$28, 2, FALSE))</f>
        <v>4</v>
      </c>
      <c r="I19" s="14">
        <f t="shared" si="1"/>
        <v>4</v>
      </c>
      <c r="J19" s="14">
        <f t="shared" si="2"/>
        <v>1</v>
      </c>
      <c r="K19" s="3" t="str">
        <f t="shared" si="2"/>
        <v>Module_ADC_12  variable</v>
      </c>
    </row>
    <row r="20" spans="1:11" x14ac:dyDescent="0.3">
      <c r="A20" t="s">
        <v>4</v>
      </c>
      <c r="B20" t="s">
        <v>122</v>
      </c>
      <c r="C20">
        <v>2</v>
      </c>
      <c r="D20" t="str">
        <f t="shared" si="0"/>
        <v>Module_ADC_13  variable</v>
      </c>
      <c r="G20" s="3" t="str">
        <f>CONCATENATE("SVAR_",$B$5,"_",B20,"_",VLOOKUP(A20,misc!$C$2:$E$15,3,FALSE))</f>
        <v>SVAR_CAL_Module_ADC_13_u8</v>
      </c>
      <c r="H20" s="14">
        <f>(VLOOKUP(A20, misc!$C$2:$D$28, 2, FALSE))</f>
        <v>1</v>
      </c>
      <c r="I20" s="14">
        <f t="shared" si="1"/>
        <v>2</v>
      </c>
      <c r="J20" s="14">
        <f t="shared" si="2"/>
        <v>2</v>
      </c>
      <c r="K20" s="3" t="str">
        <f t="shared" si="2"/>
        <v>Module_ADC_13  variable</v>
      </c>
    </row>
    <row r="21" spans="1:11" x14ac:dyDescent="0.3">
      <c r="A21" t="s">
        <v>10</v>
      </c>
      <c r="B21" t="s">
        <v>123</v>
      </c>
      <c r="C21">
        <v>1</v>
      </c>
      <c r="D21" t="str">
        <f t="shared" si="0"/>
        <v>Module_ADC_14  variable</v>
      </c>
      <c r="G21" s="3" t="str">
        <f>CONCATENATE("SVAR_",$B$5,"_",B21,"_",VLOOKUP(A21,misc!$C$2:$E$15,3,FALSE))</f>
        <v>SVAR_CAL_Module_ADC_14_u64</v>
      </c>
      <c r="H21" s="14">
        <f>(VLOOKUP(A21, misc!$C$2:$D$28, 2, FALSE))</f>
        <v>8</v>
      </c>
      <c r="I21" s="14">
        <f t="shared" si="1"/>
        <v>8</v>
      </c>
      <c r="J21" s="14">
        <f t="shared" si="2"/>
        <v>1</v>
      </c>
      <c r="K21" s="3" t="str">
        <f t="shared" si="2"/>
        <v>Module_ADC_14  variable</v>
      </c>
    </row>
    <row r="22" spans="1:11" x14ac:dyDescent="0.3">
      <c r="A22" t="s">
        <v>4</v>
      </c>
      <c r="B22" t="s">
        <v>124</v>
      </c>
      <c r="C22">
        <v>1</v>
      </c>
      <c r="D22" t="str">
        <f t="shared" si="0"/>
        <v>Module_ADC_15  variable</v>
      </c>
      <c r="G22" s="3" t="str">
        <f>CONCATENATE("SVAR_",$B$5,"_",B22,"_",VLOOKUP(A22,misc!$C$2:$E$15,3,FALSE))</f>
        <v>SVAR_CAL_Module_ADC_15_u8</v>
      </c>
      <c r="H22" s="14">
        <f>(VLOOKUP(A22, misc!$C$2:$D$28, 2, FALSE))</f>
        <v>1</v>
      </c>
      <c r="I22" s="14">
        <f t="shared" si="1"/>
        <v>1</v>
      </c>
      <c r="J22" s="14">
        <f t="shared" si="2"/>
        <v>1</v>
      </c>
      <c r="K22" s="3" t="str">
        <f t="shared" si="2"/>
        <v>Module_ADC_15  variable</v>
      </c>
    </row>
    <row r="23" spans="1:11" x14ac:dyDescent="0.3">
      <c r="A23" t="s">
        <v>4</v>
      </c>
      <c r="B23" t="s">
        <v>125</v>
      </c>
      <c r="C23">
        <v>1</v>
      </c>
      <c r="D23" t="str">
        <f t="shared" si="0"/>
        <v>Module_ADC_16  variable</v>
      </c>
      <c r="G23" s="3" t="str">
        <f>CONCATENATE("SVAR_",$B$5,"_",B23,"_",VLOOKUP(A23,misc!$C$2:$E$15,3,FALSE))</f>
        <v>SVAR_CAL_Module_ADC_16_u8</v>
      </c>
      <c r="H23" s="14">
        <f>(VLOOKUP(A23, misc!$C$2:$D$28, 2, FALSE))</f>
        <v>1</v>
      </c>
      <c r="I23" s="14">
        <f t="shared" si="1"/>
        <v>1</v>
      </c>
      <c r="J23" s="14">
        <f t="shared" si="2"/>
        <v>1</v>
      </c>
      <c r="K23" s="3" t="str">
        <f t="shared" si="2"/>
        <v>Module_ADC_16  variable</v>
      </c>
    </row>
    <row r="24" spans="1:11" x14ac:dyDescent="0.3">
      <c r="A24" t="s">
        <v>22</v>
      </c>
      <c r="B24" t="s">
        <v>126</v>
      </c>
      <c r="C24">
        <v>1</v>
      </c>
      <c r="D24" t="str">
        <f t="shared" si="0"/>
        <v>Module_ADC_17  variable</v>
      </c>
      <c r="G24" s="3" t="str">
        <f>CONCATENATE("SVAR_",$B$5,"_",B24,"_",VLOOKUP(A24,misc!$C$2:$E$15,3,FALSE))</f>
        <v>SVAR_CAL_Module_ADC_17_b</v>
      </c>
      <c r="H24" s="14">
        <f>(VLOOKUP(A24, misc!$C$2:$D$28, 2, FALSE))</f>
        <v>1</v>
      </c>
      <c r="I24" s="14">
        <f t="shared" si="1"/>
        <v>1</v>
      </c>
      <c r="J24" s="14">
        <f t="shared" si="2"/>
        <v>1</v>
      </c>
      <c r="K24" s="3" t="str">
        <f t="shared" si="2"/>
        <v>Module_ADC_17  variable</v>
      </c>
    </row>
    <row r="25" spans="1:11" x14ac:dyDescent="0.3">
      <c r="A25" t="s">
        <v>22</v>
      </c>
      <c r="B25" t="s">
        <v>127</v>
      </c>
      <c r="C25">
        <v>1</v>
      </c>
      <c r="D25" t="str">
        <f t="shared" si="0"/>
        <v>Module_ADC_18  variable</v>
      </c>
      <c r="G25" s="3" t="str">
        <f>CONCATENATE("SVAR_",$B$5,"_",B25,"_",VLOOKUP(A25,misc!$C$2:$E$15,3,FALSE))</f>
        <v>SVAR_CAL_Module_ADC_18_b</v>
      </c>
      <c r="H25" s="14">
        <f>(VLOOKUP(A25, misc!$C$2:$D$28, 2, FALSE))</f>
        <v>1</v>
      </c>
      <c r="I25" s="14">
        <f t="shared" si="1"/>
        <v>1</v>
      </c>
      <c r="J25" s="14">
        <f t="shared" si="2"/>
        <v>1</v>
      </c>
      <c r="K25" s="3" t="str">
        <f t="shared" si="2"/>
        <v>Module_ADC_18  variable</v>
      </c>
    </row>
    <row r="26" spans="1:11" x14ac:dyDescent="0.3">
      <c r="A26" t="s">
        <v>4</v>
      </c>
      <c r="B26" t="s">
        <v>128</v>
      </c>
      <c r="C26">
        <v>1</v>
      </c>
      <c r="D26" t="str">
        <f t="shared" si="0"/>
        <v>Module_ADC_19  variable</v>
      </c>
      <c r="G26" s="3" t="str">
        <f>CONCATENATE("SVAR_",$B$5,"_",B26,"_",VLOOKUP(A26,misc!$C$2:$E$15,3,FALSE))</f>
        <v>SVAR_CAL_Module_ADC_19_u8</v>
      </c>
      <c r="H26" s="14">
        <f>(VLOOKUP(A26, misc!$C$2:$D$28, 2, FALSE))</f>
        <v>1</v>
      </c>
      <c r="I26" s="14">
        <f t="shared" si="1"/>
        <v>1</v>
      </c>
      <c r="J26" s="14">
        <f t="shared" si="2"/>
        <v>1</v>
      </c>
      <c r="K26" s="3" t="str">
        <f t="shared" si="2"/>
        <v>Module_ADC_19  variable</v>
      </c>
    </row>
    <row r="27" spans="1:11" x14ac:dyDescent="0.3">
      <c r="A27" t="s">
        <v>4</v>
      </c>
      <c r="B27" t="s">
        <v>129</v>
      </c>
      <c r="C27">
        <v>1</v>
      </c>
      <c r="D27" t="str">
        <f t="shared" si="0"/>
        <v>Module_ADC_20  variable</v>
      </c>
      <c r="G27" s="3" t="str">
        <f>CONCATENATE("SVAR_",$B$5,"_",B27,"_",VLOOKUP(A27,misc!$C$2:$E$15,3,FALSE))</f>
        <v>SVAR_CAL_Module_ADC_20_u8</v>
      </c>
      <c r="H27" s="14">
        <f>(VLOOKUP(A27, misc!$C$2:$D$28, 2, FALSE))</f>
        <v>1</v>
      </c>
      <c r="I27" s="14">
        <f t="shared" si="1"/>
        <v>1</v>
      </c>
      <c r="J27" s="14">
        <f t="shared" si="2"/>
        <v>1</v>
      </c>
      <c r="K27" s="3" t="str">
        <f t="shared" si="2"/>
        <v>Module_ADC_20  variable</v>
      </c>
    </row>
    <row r="28" spans="1:11" x14ac:dyDescent="0.3">
      <c r="A28" t="s">
        <v>4</v>
      </c>
      <c r="B28" t="s">
        <v>130</v>
      </c>
      <c r="C28">
        <v>1</v>
      </c>
      <c r="D28" t="str">
        <f t="shared" si="0"/>
        <v>Module_ADC_21  variable</v>
      </c>
      <c r="G28" s="3" t="str">
        <f>CONCATENATE("SVAR_",$B$5,"_",B28,"_",VLOOKUP(A28,misc!$C$2:$E$15,3,FALSE))</f>
        <v>SVAR_CAL_Module_ADC_21_u8</v>
      </c>
      <c r="H28" s="14">
        <f>(VLOOKUP(A28, misc!$C$2:$D$28, 2, FALSE))</f>
        <v>1</v>
      </c>
      <c r="I28" s="14">
        <f t="shared" si="1"/>
        <v>1</v>
      </c>
      <c r="J28" s="14">
        <f t="shared" si="2"/>
        <v>1</v>
      </c>
      <c r="K28" s="3" t="str">
        <f t="shared" si="2"/>
        <v>Module_ADC_21  variable</v>
      </c>
    </row>
    <row r="29" spans="1:11" x14ac:dyDescent="0.3">
      <c r="A29" t="s">
        <v>4</v>
      </c>
      <c r="B29" t="s">
        <v>131</v>
      </c>
      <c r="C29">
        <v>1</v>
      </c>
      <c r="D29" t="str">
        <f t="shared" si="0"/>
        <v>Module_ADC_22  variable</v>
      </c>
      <c r="G29" s="3" t="str">
        <f>CONCATENATE("SVAR_",$B$5,"_",B29,"_",VLOOKUP(A29,misc!$C$2:$E$15,3,FALSE))</f>
        <v>SVAR_CAL_Module_ADC_22_u8</v>
      </c>
      <c r="H29" s="14">
        <f>(VLOOKUP(A29, misc!$C$2:$D$28, 2, FALSE))</f>
        <v>1</v>
      </c>
      <c r="I29" s="14">
        <f t="shared" si="1"/>
        <v>1</v>
      </c>
      <c r="J29" s="14">
        <f t="shared" si="2"/>
        <v>1</v>
      </c>
      <c r="K29" s="3" t="str">
        <f t="shared" si="2"/>
        <v>Module_ADC_22  variable</v>
      </c>
    </row>
    <row r="30" spans="1:11" x14ac:dyDescent="0.3">
      <c r="A30" t="s">
        <v>4</v>
      </c>
      <c r="B30" t="s">
        <v>132</v>
      </c>
      <c r="C30">
        <v>1</v>
      </c>
      <c r="D30" t="str">
        <f t="shared" si="0"/>
        <v>Module_ADC_23  variable</v>
      </c>
      <c r="G30" s="3" t="str">
        <f>CONCATENATE("SVAR_",$B$5,"_",B30,"_",VLOOKUP(A30,misc!$C$2:$E$15,3,FALSE))</f>
        <v>SVAR_CAL_Module_ADC_23_u8</v>
      </c>
      <c r="H30" s="14">
        <f>(VLOOKUP(A30, misc!$C$2:$D$28, 2, FALSE))</f>
        <v>1</v>
      </c>
      <c r="I30" s="14">
        <f t="shared" si="1"/>
        <v>1</v>
      </c>
      <c r="J30" s="14">
        <f t="shared" si="2"/>
        <v>1</v>
      </c>
      <c r="K30" s="3" t="str">
        <f t="shared" si="2"/>
        <v>Module_ADC_23  variable</v>
      </c>
    </row>
    <row r="31" spans="1:11" x14ac:dyDescent="0.3">
      <c r="A31" t="s">
        <v>23</v>
      </c>
      <c r="B31" t="s">
        <v>133</v>
      </c>
      <c r="C31">
        <v>1</v>
      </c>
      <c r="D31" t="str">
        <f t="shared" si="0"/>
        <v>Module_ADC_24  variable</v>
      </c>
      <c r="G31" s="3" t="str">
        <f>CONCATENATE("SVAR_",$B$5,"_",B31,"_",VLOOKUP(A31,misc!$C$2:$E$15,3,FALSE))</f>
        <v>SVAR_CAL_Module_ADC_24_add</v>
      </c>
      <c r="H31" s="14">
        <f>(VLOOKUP(A31, misc!$C$2:$D$28, 2, FALSE))</f>
        <v>4</v>
      </c>
      <c r="I31" s="14">
        <f t="shared" si="1"/>
        <v>4</v>
      </c>
      <c r="J31" s="14">
        <f t="shared" si="2"/>
        <v>1</v>
      </c>
      <c r="K31" s="3" t="str">
        <f t="shared" si="2"/>
        <v>Module_ADC_24  variable</v>
      </c>
    </row>
    <row r="32" spans="1:11" x14ac:dyDescent="0.3">
      <c r="A32" t="s">
        <v>4</v>
      </c>
      <c r="B32" t="s">
        <v>134</v>
      </c>
      <c r="C32">
        <v>1</v>
      </c>
      <c r="D32" t="str">
        <f t="shared" si="0"/>
        <v>Module_ADC_25  variable</v>
      </c>
      <c r="G32" s="3" t="str">
        <f>CONCATENATE("SVAR_",$B$5,"_",B32,"_",VLOOKUP(A32,misc!$C$2:$E$15,3,FALSE))</f>
        <v>SVAR_CAL_Module_ADC_25_u8</v>
      </c>
      <c r="H32" s="14">
        <f>(VLOOKUP(A32, misc!$C$2:$D$28, 2, FALSE))</f>
        <v>1</v>
      </c>
      <c r="I32" s="14">
        <f t="shared" si="1"/>
        <v>1</v>
      </c>
      <c r="J32" s="14">
        <f t="shared" si="2"/>
        <v>1</v>
      </c>
      <c r="K32" s="3" t="str">
        <f t="shared" si="2"/>
        <v>Module_ADC_25  variable</v>
      </c>
    </row>
    <row r="33" spans="1:11" x14ac:dyDescent="0.3">
      <c r="A33" t="s">
        <v>4</v>
      </c>
      <c r="B33" t="s">
        <v>135</v>
      </c>
      <c r="C33">
        <v>1</v>
      </c>
      <c r="D33" t="str">
        <f t="shared" si="0"/>
        <v>Module_ADC_26  variable</v>
      </c>
      <c r="G33" s="3" t="str">
        <f>CONCATENATE("SVAR_",$B$5,"_",B33,"_",VLOOKUP(A33,misc!$C$2:$E$15,3,FALSE))</f>
        <v>SVAR_CAL_Module_ADC_26_u8</v>
      </c>
      <c r="H33" s="14">
        <f>(VLOOKUP(A33, misc!$C$2:$D$28, 2, FALSE))</f>
        <v>1</v>
      </c>
      <c r="I33" s="14">
        <f t="shared" si="1"/>
        <v>1</v>
      </c>
      <c r="J33" s="14">
        <f t="shared" si="2"/>
        <v>1</v>
      </c>
      <c r="K33" s="3" t="str">
        <f t="shared" si="2"/>
        <v>Module_ADC_26  variable</v>
      </c>
    </row>
    <row r="34" spans="1:11" x14ac:dyDescent="0.3">
      <c r="A34" t="s">
        <v>4</v>
      </c>
      <c r="B34" t="s">
        <v>136</v>
      </c>
      <c r="C34">
        <v>1</v>
      </c>
      <c r="D34" t="str">
        <f t="shared" si="0"/>
        <v>Module_ADC_27  variable</v>
      </c>
      <c r="G34" s="3" t="str">
        <f>CONCATENATE("SVAR_",$B$5,"_",B34,"_",VLOOKUP(A34,misc!$C$2:$E$15,3,FALSE))</f>
        <v>SVAR_CAL_Module_ADC_27_u8</v>
      </c>
      <c r="H34" s="14">
        <f>(VLOOKUP(A34, misc!$C$2:$D$28, 2, FALSE))</f>
        <v>1</v>
      </c>
      <c r="I34" s="14">
        <f t="shared" si="1"/>
        <v>1</v>
      </c>
      <c r="J34" s="14">
        <f t="shared" si="2"/>
        <v>1</v>
      </c>
      <c r="K34" s="3" t="str">
        <f t="shared" si="2"/>
        <v>Module_ADC_27  variable</v>
      </c>
    </row>
    <row r="35" spans="1:11" x14ac:dyDescent="0.3">
      <c r="A35" t="s">
        <v>4</v>
      </c>
      <c r="B35" t="s">
        <v>137</v>
      </c>
      <c r="C35">
        <v>1</v>
      </c>
      <c r="D35" t="str">
        <f t="shared" si="0"/>
        <v>Module_ADC_28  variable</v>
      </c>
      <c r="G35" s="3" t="str">
        <f>CONCATENATE("SVAR_",$B$5,"_",B35,"_",VLOOKUP(A35,misc!$C$2:$E$15,3,FALSE))</f>
        <v>SVAR_CAL_Module_ADC_28_u8</v>
      </c>
      <c r="H35" s="14">
        <f>(VLOOKUP(A35, misc!$C$2:$D$28, 2, FALSE))</f>
        <v>1</v>
      </c>
      <c r="I35" s="14">
        <f t="shared" si="1"/>
        <v>1</v>
      </c>
      <c r="J35" s="14">
        <f t="shared" si="2"/>
        <v>1</v>
      </c>
      <c r="K35" s="3" t="str">
        <f t="shared" si="2"/>
        <v>Module_ADC_28  variable</v>
      </c>
    </row>
    <row r="36" spans="1:11" x14ac:dyDescent="0.3">
      <c r="A36" t="s">
        <v>13</v>
      </c>
      <c r="B36" t="s">
        <v>138</v>
      </c>
      <c r="C36">
        <v>1</v>
      </c>
      <c r="D36" t="str">
        <f t="shared" si="0"/>
        <v>Module_ADC_29  variable</v>
      </c>
      <c r="G36" s="3" t="str">
        <f>CONCATENATE("SVAR_",$B$5,"_",B36,"_",VLOOKUP(A36,misc!$C$2:$E$15,3,FALSE))</f>
        <v>SVAR_CAL_Module_ADC_29_f</v>
      </c>
      <c r="H36" s="14">
        <f>(VLOOKUP(A36, misc!$C$2:$D$28, 2, FALSE))</f>
        <v>4</v>
      </c>
      <c r="I36" s="14">
        <f t="shared" si="1"/>
        <v>4</v>
      </c>
      <c r="J36" s="14">
        <f t="shared" si="2"/>
        <v>1</v>
      </c>
      <c r="K36" s="3" t="str">
        <f t="shared" si="2"/>
        <v>Module_ADC_29  variable</v>
      </c>
    </row>
    <row r="37" spans="1:11" x14ac:dyDescent="0.3">
      <c r="A37" t="s">
        <v>4</v>
      </c>
      <c r="B37" t="s">
        <v>139</v>
      </c>
      <c r="C37">
        <v>1</v>
      </c>
      <c r="D37" t="str">
        <f t="shared" si="0"/>
        <v>Module_ADC_30  variable</v>
      </c>
      <c r="G37" s="3" t="str">
        <f>CONCATENATE("SVAR_",$B$5,"_",B37,"_",VLOOKUP(A37,misc!$C$2:$E$15,3,FALSE))</f>
        <v>SVAR_CAL_Module_ADC_30_u8</v>
      </c>
      <c r="H37" s="14">
        <f>(VLOOKUP(A37, misc!$C$2:$D$28, 2, FALSE))</f>
        <v>1</v>
      </c>
      <c r="I37" s="14">
        <f t="shared" si="1"/>
        <v>1</v>
      </c>
      <c r="J37" s="14">
        <f t="shared" si="2"/>
        <v>1</v>
      </c>
      <c r="K37" s="3" t="str">
        <f t="shared" si="2"/>
        <v>Module_ADC_30  variable</v>
      </c>
    </row>
    <row r="38" spans="1:11" x14ac:dyDescent="0.3">
      <c r="A38" t="s">
        <v>4</v>
      </c>
      <c r="B38" t="s">
        <v>140</v>
      </c>
      <c r="C38">
        <v>1</v>
      </c>
      <c r="D38" t="str">
        <f t="shared" si="0"/>
        <v>Module_ADC_31  variable</v>
      </c>
      <c r="G38" s="3" t="str">
        <f>CONCATENATE("SVAR_",$B$5,"_",B38,"_",VLOOKUP(A38,misc!$C$2:$E$15,3,FALSE))</f>
        <v>SVAR_CAL_Module_ADC_31_u8</v>
      </c>
      <c r="H38" s="14">
        <f>(VLOOKUP(A38, misc!$C$2:$D$28, 2, FALSE))</f>
        <v>1</v>
      </c>
      <c r="I38" s="14">
        <f t="shared" si="1"/>
        <v>1</v>
      </c>
      <c r="J38" s="14">
        <f t="shared" si="2"/>
        <v>1</v>
      </c>
      <c r="K38" s="3" t="str">
        <f t="shared" si="2"/>
        <v>Module_ADC_31  variable</v>
      </c>
    </row>
    <row r="39" spans="1:11" x14ac:dyDescent="0.3">
      <c r="A39" t="s">
        <v>4</v>
      </c>
      <c r="B39" t="s">
        <v>141</v>
      </c>
      <c r="C39">
        <v>1</v>
      </c>
      <c r="D39" t="str">
        <f t="shared" si="0"/>
        <v>Module_ADC_32  variable</v>
      </c>
      <c r="G39" s="3" t="str">
        <f>CONCATENATE("SVAR_",$B$5,"_",B39,"_",VLOOKUP(A39,misc!$C$2:$E$15,3,FALSE))</f>
        <v>SVAR_CAL_Module_ADC_32_u8</v>
      </c>
      <c r="H39" s="14">
        <f>(VLOOKUP(A39, misc!$C$2:$D$28, 2, FALSE))</f>
        <v>1</v>
      </c>
      <c r="I39" s="14">
        <f t="shared" si="1"/>
        <v>1</v>
      </c>
      <c r="J39" s="14">
        <f t="shared" si="2"/>
        <v>1</v>
      </c>
      <c r="K39" s="3" t="str">
        <f t="shared" si="2"/>
        <v>Module_ADC_32  variable</v>
      </c>
    </row>
    <row r="40" spans="1:11" x14ac:dyDescent="0.3">
      <c r="A40" t="s">
        <v>5</v>
      </c>
      <c r="B40" t="s">
        <v>142</v>
      </c>
      <c r="C40">
        <v>1</v>
      </c>
      <c r="D40" t="str">
        <f t="shared" si="0"/>
        <v>Module_ADC_33  variable</v>
      </c>
      <c r="G40" s="3" t="str">
        <f>CONCATENATE("SVAR_",$B$5,"_",B40,"_",VLOOKUP(A40,misc!$C$2:$E$15,3,FALSE))</f>
        <v>SVAR_CAL_Module_ADC_33_s8</v>
      </c>
      <c r="H40" s="14">
        <f>(VLOOKUP(A40, misc!$C$2:$D$28, 2, FALSE))</f>
        <v>1</v>
      </c>
      <c r="I40" s="14">
        <f t="shared" si="1"/>
        <v>1</v>
      </c>
      <c r="J40" s="14">
        <f t="shared" si="2"/>
        <v>1</v>
      </c>
      <c r="K40" s="3" t="str">
        <f t="shared" si="2"/>
        <v>Module_ADC_33  variable</v>
      </c>
    </row>
    <row r="41" spans="1:11" x14ac:dyDescent="0.3">
      <c r="A41" t="s">
        <v>22</v>
      </c>
      <c r="B41" t="s">
        <v>143</v>
      </c>
      <c r="C41">
        <v>1</v>
      </c>
      <c r="D41" t="str">
        <f t="shared" si="0"/>
        <v>Module_ADC_34  variable</v>
      </c>
      <c r="G41" s="3" t="str">
        <f>CONCATENATE("SVAR_",$B$5,"_",B41,"_",VLOOKUP(A41,misc!$C$2:$E$15,3,FALSE))</f>
        <v>SVAR_CAL_Module_ADC_34_b</v>
      </c>
      <c r="H41" s="14">
        <f>(VLOOKUP(A41, misc!$C$2:$D$28, 2, FALSE))</f>
        <v>1</v>
      </c>
      <c r="I41" s="14">
        <f t="shared" si="1"/>
        <v>1</v>
      </c>
      <c r="J41" s="14">
        <f t="shared" si="2"/>
        <v>1</v>
      </c>
      <c r="K41" s="3" t="str">
        <f t="shared" si="2"/>
        <v>Module_ADC_34  variable</v>
      </c>
    </row>
    <row r="42" spans="1:11" x14ac:dyDescent="0.3">
      <c r="A42" t="s">
        <v>9</v>
      </c>
      <c r="B42" t="s">
        <v>144</v>
      </c>
      <c r="C42">
        <v>1</v>
      </c>
      <c r="D42" t="str">
        <f t="shared" si="0"/>
        <v>Module_ADC_35  variable</v>
      </c>
      <c r="G42" s="3" t="str">
        <f>CONCATENATE("SVAR_",$B$5,"_",B42,"_",VLOOKUP(A42,misc!$C$2:$E$15,3,FALSE))</f>
        <v>SVAR_CAL_Module_ADC_35_s32</v>
      </c>
      <c r="H42" s="14">
        <f>(VLOOKUP(A42, misc!$C$2:$D$28, 2, FALSE))</f>
        <v>4</v>
      </c>
      <c r="I42" s="14">
        <f t="shared" si="1"/>
        <v>4</v>
      </c>
      <c r="J42" s="14">
        <f t="shared" si="2"/>
        <v>1</v>
      </c>
      <c r="K42" s="3" t="str">
        <f t="shared" si="2"/>
        <v>Module_ADC_35  variable</v>
      </c>
    </row>
  </sheetData>
  <mergeCells count="1">
    <mergeCell ref="G6:K6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0585077-0F86-476C-BECA-3E15F9FBD3D4}">
          <x14:formula1>
            <xm:f>misc!$B$2:$B$4</xm:f>
          </x14:formula1>
          <xm:sqref>B3</xm:sqref>
        </x14:dataValidation>
        <x14:dataValidation type="list" allowBlank="1" showInputMessage="1" showErrorMessage="1" xr:uid="{35FA1398-1934-4805-96A1-14E7E72B6CE2}">
          <x14:formula1>
            <xm:f>misc!$A$2:$A$13</xm:f>
          </x14:formula1>
          <xm:sqref>B2</xm:sqref>
        </x14:dataValidation>
        <x14:dataValidation type="list" allowBlank="1" showInputMessage="1" showErrorMessage="1" xr:uid="{547A0521-632E-4531-8412-AFB55B87A7CD}">
          <x14:formula1>
            <xm:f>misc!$C$2:$C$22</xm:f>
          </x14:formula1>
          <xm:sqref>A8:A42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9D9F7-97FB-42C0-AA07-06E053148763}">
  <dimension ref="A1:N15"/>
  <sheetViews>
    <sheetView workbookViewId="0">
      <selection activeCell="F19" sqref="F19"/>
    </sheetView>
  </sheetViews>
  <sheetFormatPr defaultRowHeight="14.4" x14ac:dyDescent="0.3"/>
  <cols>
    <col min="1" max="2" width="23.33203125" customWidth="1"/>
    <col min="3" max="3" width="13.109375" customWidth="1"/>
    <col min="4" max="4" width="11.21875" customWidth="1"/>
    <col min="5" max="5" width="11.109375" customWidth="1"/>
  </cols>
  <sheetData>
    <row r="1" spans="1:14" x14ac:dyDescent="0.3">
      <c r="A1" s="1" t="s">
        <v>1</v>
      </c>
      <c r="B1" s="1" t="s">
        <v>16</v>
      </c>
      <c r="C1" s="1" t="s">
        <v>2</v>
      </c>
      <c r="D1" s="1" t="s">
        <v>12</v>
      </c>
      <c r="E1" s="1" t="s">
        <v>30</v>
      </c>
      <c r="F1" s="1" t="s">
        <v>65</v>
      </c>
      <c r="N1" t="s">
        <v>49</v>
      </c>
    </row>
    <row r="2" spans="1:14" x14ac:dyDescent="0.3">
      <c r="A2" t="s">
        <v>61</v>
      </c>
      <c r="B2" t="s">
        <v>17</v>
      </c>
      <c r="C2" t="s">
        <v>22</v>
      </c>
      <c r="D2">
        <v>1</v>
      </c>
      <c r="E2" t="s">
        <v>31</v>
      </c>
      <c r="F2" t="s">
        <v>66</v>
      </c>
      <c r="N2" t="s">
        <v>50</v>
      </c>
    </row>
    <row r="3" spans="1:14" x14ac:dyDescent="0.3">
      <c r="A3" t="s">
        <v>62</v>
      </c>
      <c r="B3" t="s">
        <v>18</v>
      </c>
      <c r="C3" t="s">
        <v>3</v>
      </c>
      <c r="D3">
        <v>1</v>
      </c>
      <c r="E3" t="s">
        <v>32</v>
      </c>
      <c r="F3" t="s">
        <v>67</v>
      </c>
    </row>
    <row r="4" spans="1:14" x14ac:dyDescent="0.3">
      <c r="A4" t="s">
        <v>63</v>
      </c>
      <c r="B4" t="s">
        <v>19</v>
      </c>
      <c r="C4" t="s">
        <v>4</v>
      </c>
      <c r="D4">
        <v>1</v>
      </c>
      <c r="E4" t="s">
        <v>35</v>
      </c>
    </row>
    <row r="5" spans="1:14" x14ac:dyDescent="0.3">
      <c r="C5" t="s">
        <v>5</v>
      </c>
      <c r="D5">
        <v>1</v>
      </c>
      <c r="E5" t="s">
        <v>36</v>
      </c>
    </row>
    <row r="6" spans="1:14" x14ac:dyDescent="0.3">
      <c r="C6" t="s">
        <v>6</v>
      </c>
      <c r="D6">
        <v>2</v>
      </c>
      <c r="E6" t="s">
        <v>37</v>
      </c>
    </row>
    <row r="7" spans="1:14" x14ac:dyDescent="0.3">
      <c r="C7" t="s">
        <v>7</v>
      </c>
      <c r="D7">
        <v>2</v>
      </c>
      <c r="E7" t="s">
        <v>38</v>
      </c>
    </row>
    <row r="8" spans="1:14" x14ac:dyDescent="0.3">
      <c r="C8" t="s">
        <v>8</v>
      </c>
      <c r="D8">
        <v>4</v>
      </c>
      <c r="E8" t="s">
        <v>39</v>
      </c>
    </row>
    <row r="9" spans="1:14" x14ac:dyDescent="0.3">
      <c r="C9" t="s">
        <v>9</v>
      </c>
      <c r="D9">
        <v>4</v>
      </c>
      <c r="E9" t="s">
        <v>40</v>
      </c>
    </row>
    <row r="10" spans="1:14" x14ac:dyDescent="0.3">
      <c r="C10" t="s">
        <v>10</v>
      </c>
      <c r="D10">
        <v>8</v>
      </c>
      <c r="E10" t="s">
        <v>41</v>
      </c>
    </row>
    <row r="11" spans="1:14" x14ac:dyDescent="0.3">
      <c r="C11" t="s">
        <v>11</v>
      </c>
      <c r="D11">
        <v>8</v>
      </c>
      <c r="E11" t="s">
        <v>42</v>
      </c>
    </row>
    <row r="12" spans="1:14" x14ac:dyDescent="0.3">
      <c r="C12" t="s">
        <v>13</v>
      </c>
      <c r="D12">
        <v>4</v>
      </c>
      <c r="E12" t="s">
        <v>33</v>
      </c>
    </row>
    <row r="13" spans="1:14" x14ac:dyDescent="0.3">
      <c r="C13" t="s">
        <v>14</v>
      </c>
      <c r="D13">
        <v>8</v>
      </c>
      <c r="E13" t="s">
        <v>34</v>
      </c>
    </row>
    <row r="14" spans="1:14" x14ac:dyDescent="0.3">
      <c r="C14" t="s">
        <v>21</v>
      </c>
      <c r="D14">
        <v>16</v>
      </c>
      <c r="E14" t="s">
        <v>43</v>
      </c>
    </row>
    <row r="15" spans="1:14" x14ac:dyDescent="0.3">
      <c r="C15" t="s">
        <v>23</v>
      </c>
      <c r="D15">
        <v>4</v>
      </c>
      <c r="E15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Context</vt:lpstr>
      <vt:lpstr>varSheet1</vt:lpstr>
      <vt:lpstr>varSheet2</vt:lpstr>
      <vt:lpstr>varSheet3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Verma</dc:creator>
  <cp:lastModifiedBy>Manish Verma</cp:lastModifiedBy>
  <dcterms:created xsi:type="dcterms:W3CDTF">2015-06-05T18:17:20Z</dcterms:created>
  <dcterms:modified xsi:type="dcterms:W3CDTF">2025-05-11T08:59:05Z</dcterms:modified>
</cp:coreProperties>
</file>